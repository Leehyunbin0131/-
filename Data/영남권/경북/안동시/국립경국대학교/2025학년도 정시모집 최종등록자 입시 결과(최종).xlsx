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2025 입결자료\2. 홈페이지게시용\홈페이지 게시\"/>
    </mc:Choice>
  </mc:AlternateContent>
  <xr:revisionPtr revIDLastSave="0" documentId="13_ncr:1_{DE1E8161-7400-4D6D-89F0-6C30BFB23CF9}" xr6:coauthVersionLast="47" xr6:coauthVersionMax="47" xr10:uidLastSave="{00000000-0000-0000-0000-000000000000}"/>
  <bookViews>
    <workbookView xWindow="28680" yWindow="-120" windowWidth="29040" windowHeight="15720" xr2:uid="{3DB2956B-8F80-4530-96B5-0C3943AAB895}"/>
  </bookViews>
  <sheets>
    <sheet name="전년도 입결자료" sheetId="2" r:id="rId1"/>
  </sheets>
  <definedNames>
    <definedName name="_xlnm._FilterDatabase" localSheetId="0" hidden="1">'전년도 입결자료'!$A$11:$L$50</definedName>
    <definedName name="_xlnm.Print_Titles" localSheetId="0">'전년도 입결자료'!$1:$8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" i="2" l="1"/>
  <c r="E49" i="2"/>
  <c r="E48" i="2"/>
  <c r="E47" i="2"/>
  <c r="E46" i="2"/>
  <c r="E45" i="2"/>
  <c r="E44" i="2"/>
  <c r="E43" i="2"/>
  <c r="E42" i="2"/>
  <c r="E41" i="2"/>
  <c r="E40" i="2"/>
  <c r="E39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</calcChain>
</file>

<file path=xl/sharedStrings.xml><?xml version="1.0" encoding="utf-8"?>
<sst xmlns="http://schemas.openxmlformats.org/spreadsheetml/2006/main" count="122" uniqueCount="55">
  <si>
    <t>2025학년도 정시모집 최종등록자 입시 결과</t>
    <phoneticPr fontId="3" type="noConversion"/>
  </si>
  <si>
    <t>&lt;일반학생전형&gt;</t>
    <phoneticPr fontId="3" type="noConversion"/>
  </si>
  <si>
    <t>모집단위</t>
    <phoneticPr fontId="3" type="noConversion"/>
  </si>
  <si>
    <t>전형유형</t>
  </si>
  <si>
    <t>지원현황 결과</t>
    <phoneticPr fontId="3" type="noConversion"/>
  </si>
  <si>
    <t>최종합격
후보번호</t>
    <phoneticPr fontId="3" type="noConversion"/>
  </si>
  <si>
    <t>수능성적</t>
    <phoneticPr fontId="3" type="noConversion"/>
  </si>
  <si>
    <t>백분위</t>
    <phoneticPr fontId="3" type="noConversion"/>
  </si>
  <si>
    <t>등급</t>
    <phoneticPr fontId="3" type="noConversion"/>
  </si>
  <si>
    <t>모집
인원</t>
  </si>
  <si>
    <t>지원
인원</t>
  </si>
  <si>
    <t>경쟁률</t>
  </si>
  <si>
    <t>최고</t>
    <phoneticPr fontId="3" type="noConversion"/>
  </si>
  <si>
    <t>평균</t>
    <phoneticPr fontId="3" type="noConversion"/>
  </si>
  <si>
    <t>85%컷</t>
    <phoneticPr fontId="3" type="noConversion"/>
  </si>
  <si>
    <t>자유전공학부</t>
    <phoneticPr fontId="3" type="noConversion"/>
  </si>
  <si>
    <t>일반학생전형</t>
  </si>
  <si>
    <t>인문사회 · IT대학</t>
  </si>
  <si>
    <t>생명과학 · 공과대학</t>
  </si>
  <si>
    <t>스마트모빌리티공학과</t>
  </si>
  <si>
    <t>국어교육과</t>
  </si>
  <si>
    <t>윤리교육과</t>
  </si>
  <si>
    <t>-</t>
    <phoneticPr fontId="3" type="noConversion"/>
  </si>
  <si>
    <t>영어교육과</t>
  </si>
  <si>
    <t>교육공학과</t>
  </si>
  <si>
    <t>수학교육과</t>
  </si>
  <si>
    <t>컴퓨터교육과</t>
  </si>
  <si>
    <t>전기전자교육과</t>
  </si>
  <si>
    <t>기계교육과</t>
  </si>
  <si>
    <t>유아교육과</t>
  </si>
  <si>
    <t>간호학부</t>
  </si>
  <si>
    <t>성인학습자학부</t>
    <phoneticPr fontId="3" type="noConversion"/>
  </si>
  <si>
    <t>공공수요인재대학</t>
    <phoneticPr fontId="3" type="noConversion"/>
  </si>
  <si>
    <t>&lt;특성화고교출신자전형, 사회배려대상자전형, 농어촌학생전형&gt;</t>
    <phoneticPr fontId="3" type="noConversion"/>
  </si>
  <si>
    <t>최종합격자
후보번호</t>
    <phoneticPr fontId="3" type="noConversion"/>
  </si>
  <si>
    <t>수능 백분위</t>
    <phoneticPr fontId="3" type="noConversion"/>
  </si>
  <si>
    <t>수능등급</t>
    <phoneticPr fontId="3" type="noConversion"/>
  </si>
  <si>
    <t>특성화고출신자전형</t>
    <phoneticPr fontId="3" type="noConversion"/>
  </si>
  <si>
    <t>사회배려대상자전형</t>
    <phoneticPr fontId="3" type="noConversion"/>
  </si>
  <si>
    <t>농어촌학생전형</t>
    <phoneticPr fontId="3" type="noConversion"/>
  </si>
  <si>
    <t>국어교육과</t>
    <phoneticPr fontId="3" type="noConversion"/>
  </si>
  <si>
    <t>기계교육과</t>
    <phoneticPr fontId="3" type="noConversion"/>
  </si>
  <si>
    <t>※ 2026학년도 수능성적 반영시 영어등급에 따른 환산점수 변경</t>
    <phoneticPr fontId="3" type="noConversion"/>
  </si>
  <si>
    <t>학년도</t>
    <phoneticPr fontId="3" type="noConversion"/>
  </si>
  <si>
    <t>1등급</t>
    <phoneticPr fontId="3" type="noConversion"/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</si>
  <si>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</si>
  <si>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</si>
  <si>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</si>
  <si>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</si>
  <si>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</si>
  <si>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</si>
  <si>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</si>
  <si>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</si>
  <si>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r>
      <rPr>
        <sz val="11"/>
        <color rgb="FFFF0000"/>
        <rFont val="맑은 고딕"/>
        <family val="3"/>
        <charset val="129"/>
        <scheme val="minor"/>
      </rPr>
      <t>※ 2026학년도 수능성적 100% 반영</t>
    </r>
    <r>
      <rPr>
        <sz val="11"/>
        <color theme="1"/>
        <rFont val="맑은 고딕"/>
        <family val="2"/>
        <charset val="129"/>
        <scheme val="minor"/>
      </rPr>
      <t>(2025학년도 수능 70% + 교과 30% 반영함. 단, 성인학습자학부는 교과 100% 반영)</t>
    </r>
    <phoneticPr fontId="3" type="noConversion"/>
  </si>
  <si>
    <t>※ 수능은 국,수,영,탐(1) 중 상위 2개영역 각각 50%씩 반영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</si>
</sst>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C9A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1" applyFont="1" applyFill="1" applyBorder="1" applyAlignment="1" applyProtection="1">
      <alignment horizontal="center" vertical="center" wrapText="1"/>
      <protection hidden="1"/>
    </xf>
    <xf numFmtId="1" fontId="0" fillId="0" borderId="0" xfId="0" applyNumberFormat="1">
      <alignment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  <protection hidden="1"/>
    </xf>
    <xf numFmtId="176" fontId="4" fillId="2" borderId="1" xfId="1" applyNumberFormat="1" applyFont="1" applyFill="1" applyBorder="1" applyAlignment="1" applyProtection="1">
      <alignment horizontal="center" vertical="center" wrapText="1"/>
      <protection hidden="1"/>
    </xf>
    <xf numFmtId="176" fontId="4" fillId="2" borderId="2" xfId="1" applyNumberFormat="1" applyFont="1" applyFill="1" applyBorder="1" applyAlignment="1" applyProtection="1">
      <alignment horizontal="center" vertical="center" wrapText="1"/>
      <protection hidden="1"/>
    </xf>
    <xf numFmtId="176" fontId="4" fillId="2" borderId="3" xfId="1" applyNumberFormat="1" applyFont="1" applyFill="1" applyBorder="1" applyAlignment="1" applyProtection="1">
      <alignment horizontal="center" vertical="center" wrapText="1"/>
      <protection hidden="1"/>
    </xf>
    <xf numFmtId="176" fontId="4" fillId="2" borderId="4" xfId="1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표준 202 14 4" xfId="1" xr:uid="{8DC5AF56-9677-4F3F-83D0-03021597D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0BE5-0DFF-4347-93CD-FF210C9BCFF6}">
  <sheetPr>
    <tabColor rgb="FFFF6600"/>
  </sheetPr>
  <dimension ref="A1:Z50"/>
  <sheetViews>
    <sheetView showGridLines="0" tabSelected="1" zoomScaleNormal="100" workbookViewId="0">
      <selection sqref="A1:L1"/>
    </sheetView>
  </sheetViews>
  <sheetFormatPr defaultRowHeight="16.5" x14ac:dyDescent="0.3"/>
  <cols>
    <col min="1" max="1" width="27.25" customWidth="1"/>
    <col min="2" max="2" width="20.625" customWidth="1"/>
    <col min="6" max="6" width="9.5" customWidth="1"/>
  </cols>
  <sheetData>
    <row r="1" spans="1:26" ht="20.25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26" ht="20.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6" x14ac:dyDescent="0.3">
      <c r="A3" s="15" t="s">
        <v>53</v>
      </c>
    </row>
    <row r="4" spans="1:26" x14ac:dyDescent="0.3">
      <c r="A4" t="s">
        <v>54</v>
      </c>
    </row>
    <row r="5" spans="1:26" x14ac:dyDescent="0.3">
      <c r="A5" t="s">
        <v>42</v>
      </c>
    </row>
    <row r="6" spans="1:26" x14ac:dyDescent="0.3">
      <c r="A6" s="24" t="s">
        <v>43</v>
      </c>
      <c r="B6" s="24" t="s">
        <v>44</v>
      </c>
      <c r="C6" s="24" t="s">
        <v>45</v>
      </c>
      <c r="D6" s="24" t="s">
        <v>46</v>
      </c>
      <c r="E6" s="24" t="s">
        <v>47</v>
      </c>
      <c r="F6" s="24" t="s">
        <v>48</v>
      </c>
      <c r="G6" s="24" t="s">
        <v>49</v>
      </c>
      <c r="H6" s="24" t="s">
        <v>50</v>
      </c>
      <c r="I6" s="24" t="s">
        <v>51</v>
      </c>
      <c r="J6" s="24" t="s">
        <v>52</v>
      </c>
    </row>
    <row r="7" spans="1:26" x14ac:dyDescent="0.3">
      <c r="A7" s="16">
        <v>2025</v>
      </c>
      <c r="B7" s="16">
        <v>100</v>
      </c>
      <c r="C7" s="16">
        <v>95</v>
      </c>
      <c r="D7" s="16">
        <v>90</v>
      </c>
      <c r="E7" s="16">
        <v>85</v>
      </c>
      <c r="F7" s="16">
        <v>80</v>
      </c>
      <c r="G7" s="16">
        <v>75</v>
      </c>
      <c r="H7" s="16">
        <v>70</v>
      </c>
      <c r="I7" s="16">
        <v>65</v>
      </c>
      <c r="J7" s="16">
        <v>60</v>
      </c>
    </row>
    <row r="8" spans="1:26" x14ac:dyDescent="0.3">
      <c r="A8" s="28">
        <v>2026</v>
      </c>
      <c r="B8" s="28">
        <v>100</v>
      </c>
      <c r="C8" s="28">
        <v>97</v>
      </c>
      <c r="D8" s="28">
        <v>94</v>
      </c>
      <c r="E8" s="28">
        <v>92</v>
      </c>
      <c r="F8" s="28">
        <v>90</v>
      </c>
      <c r="G8" s="28">
        <v>88</v>
      </c>
      <c r="H8" s="28">
        <v>85</v>
      </c>
      <c r="I8" s="28">
        <v>82</v>
      </c>
      <c r="J8" s="28">
        <v>79</v>
      </c>
    </row>
    <row r="9" spans="1:26" ht="27.75" customHeight="1" x14ac:dyDescent="0.3"/>
    <row r="10" spans="1:26" x14ac:dyDescent="0.3">
      <c r="A10" s="2" t="s">
        <v>1</v>
      </c>
    </row>
    <row r="11" spans="1:26" ht="17.25" customHeight="1" x14ac:dyDescent="0.3">
      <c r="A11" s="18" t="s">
        <v>2</v>
      </c>
      <c r="B11" s="18" t="s">
        <v>3</v>
      </c>
      <c r="C11" s="19" t="s">
        <v>4</v>
      </c>
      <c r="D11" s="19"/>
      <c r="E11" s="19"/>
      <c r="F11" s="20" t="s">
        <v>5</v>
      </c>
      <c r="G11" s="17" t="s">
        <v>6</v>
      </c>
      <c r="H11" s="17"/>
      <c r="I11" s="17"/>
      <c r="J11" s="17"/>
      <c r="K11" s="17"/>
      <c r="L11" s="17"/>
    </row>
    <row r="12" spans="1:26" ht="17.25" customHeight="1" x14ac:dyDescent="0.3">
      <c r="A12" s="18"/>
      <c r="B12" s="18"/>
      <c r="C12" s="19"/>
      <c r="D12" s="19"/>
      <c r="E12" s="19"/>
      <c r="F12" s="21"/>
      <c r="G12" s="17" t="s">
        <v>7</v>
      </c>
      <c r="H12" s="17"/>
      <c r="I12" s="17"/>
      <c r="J12" s="17" t="s">
        <v>8</v>
      </c>
      <c r="K12" s="17"/>
      <c r="L12" s="17"/>
    </row>
    <row r="13" spans="1:26" ht="29.25" customHeight="1" x14ac:dyDescent="0.3">
      <c r="A13" s="18"/>
      <c r="B13" s="18"/>
      <c r="C13" s="3" t="s">
        <v>9</v>
      </c>
      <c r="D13" s="3" t="s">
        <v>10</v>
      </c>
      <c r="E13" s="3" t="s">
        <v>11</v>
      </c>
      <c r="F13" s="22"/>
      <c r="G13" s="3" t="s">
        <v>12</v>
      </c>
      <c r="H13" s="3" t="s">
        <v>13</v>
      </c>
      <c r="I13" s="3" t="s">
        <v>14</v>
      </c>
      <c r="J13" s="3" t="s">
        <v>12</v>
      </c>
      <c r="K13" s="3" t="s">
        <v>13</v>
      </c>
      <c r="L13" s="3" t="s">
        <v>14</v>
      </c>
      <c r="P13" s="4"/>
    </row>
    <row r="14" spans="1:26" ht="24.75" customHeight="1" x14ac:dyDescent="0.3">
      <c r="A14" s="5" t="s">
        <v>15</v>
      </c>
      <c r="B14" s="5" t="s">
        <v>16</v>
      </c>
      <c r="C14" s="5">
        <v>45</v>
      </c>
      <c r="D14" s="5">
        <v>80</v>
      </c>
      <c r="E14" s="6">
        <f>D14/C14</f>
        <v>1.7777777777777777</v>
      </c>
      <c r="F14" s="5">
        <v>35</v>
      </c>
      <c r="G14" s="7">
        <v>88.5</v>
      </c>
      <c r="H14" s="7">
        <v>68.833333333333329</v>
      </c>
      <c r="I14" s="7">
        <v>58</v>
      </c>
      <c r="J14" s="7">
        <v>3</v>
      </c>
      <c r="K14" s="7">
        <v>4.5370370370370372</v>
      </c>
      <c r="L14" s="7">
        <v>5.5</v>
      </c>
      <c r="P14" s="4"/>
    </row>
    <row r="15" spans="1:26" ht="24.75" customHeight="1" x14ac:dyDescent="0.3">
      <c r="A15" s="8" t="s">
        <v>17</v>
      </c>
      <c r="B15" s="8" t="s">
        <v>16</v>
      </c>
      <c r="C15" s="8">
        <v>182</v>
      </c>
      <c r="D15" s="8">
        <v>284</v>
      </c>
      <c r="E15" s="9">
        <f>D15/C15</f>
        <v>1.5604395604395604</v>
      </c>
      <c r="F15" s="8">
        <v>102</v>
      </c>
      <c r="G15" s="10">
        <v>93</v>
      </c>
      <c r="H15" s="10">
        <v>65.683035714285708</v>
      </c>
      <c r="I15" s="10">
        <v>55</v>
      </c>
      <c r="J15" s="10">
        <v>2</v>
      </c>
      <c r="K15" s="10">
        <v>4.8169642857142856</v>
      </c>
      <c r="L15" s="10">
        <v>6</v>
      </c>
      <c r="P15" s="4"/>
    </row>
    <row r="16" spans="1:26" ht="24.75" customHeight="1" x14ac:dyDescent="0.3">
      <c r="A16" s="5" t="s">
        <v>18</v>
      </c>
      <c r="B16" s="5" t="s">
        <v>16</v>
      </c>
      <c r="C16" s="5">
        <v>211</v>
      </c>
      <c r="D16" s="5">
        <v>245</v>
      </c>
      <c r="E16" s="6">
        <f t="shared" ref="E16:E29" si="0">D16/C16</f>
        <v>1.1611374407582939</v>
      </c>
      <c r="F16" s="5">
        <v>34</v>
      </c>
      <c r="G16" s="7">
        <v>86</v>
      </c>
      <c r="H16" s="7">
        <v>66.599999999999994</v>
      </c>
      <c r="I16" s="7">
        <v>58</v>
      </c>
      <c r="J16" s="7">
        <v>3</v>
      </c>
      <c r="K16" s="7">
        <v>4.71</v>
      </c>
      <c r="L16" s="7">
        <v>5.5</v>
      </c>
      <c r="P16" s="4"/>
      <c r="U16" s="11"/>
      <c r="V16" s="11"/>
      <c r="X16" s="11"/>
      <c r="Y16" s="11"/>
      <c r="Z16" s="11"/>
    </row>
    <row r="17" spans="1:26" ht="24.75" customHeight="1" x14ac:dyDescent="0.3">
      <c r="A17" s="8" t="s">
        <v>19</v>
      </c>
      <c r="B17" s="8" t="s">
        <v>16</v>
      </c>
      <c r="C17" s="8">
        <v>19</v>
      </c>
      <c r="D17" s="8">
        <v>32</v>
      </c>
      <c r="E17" s="9">
        <f t="shared" si="0"/>
        <v>1.6842105263157894</v>
      </c>
      <c r="F17" s="8">
        <v>13</v>
      </c>
      <c r="G17" s="10">
        <v>80</v>
      </c>
      <c r="H17" s="10">
        <v>67.892857142857139</v>
      </c>
      <c r="I17" s="10">
        <v>57.5</v>
      </c>
      <c r="J17" s="10">
        <v>4</v>
      </c>
      <c r="K17" s="10">
        <v>4.6071428571428568</v>
      </c>
      <c r="L17" s="10">
        <v>5.5</v>
      </c>
      <c r="P17" s="4"/>
      <c r="U17" s="11"/>
      <c r="V17" s="11"/>
      <c r="X17" s="11"/>
      <c r="Y17" s="11"/>
      <c r="Z17" s="11"/>
    </row>
    <row r="18" spans="1:26" ht="24.75" customHeight="1" x14ac:dyDescent="0.3">
      <c r="A18" s="5" t="s">
        <v>20</v>
      </c>
      <c r="B18" s="5" t="s">
        <v>16</v>
      </c>
      <c r="C18" s="5">
        <v>3</v>
      </c>
      <c r="D18" s="5">
        <v>22</v>
      </c>
      <c r="E18" s="6">
        <f t="shared" si="0"/>
        <v>7.333333333333333</v>
      </c>
      <c r="F18" s="5">
        <v>9</v>
      </c>
      <c r="G18" s="7">
        <v>90</v>
      </c>
      <c r="H18" s="7">
        <v>84</v>
      </c>
      <c r="I18" s="7">
        <v>82.5</v>
      </c>
      <c r="J18" s="7">
        <v>3</v>
      </c>
      <c r="K18" s="7">
        <v>3.375</v>
      </c>
      <c r="L18" s="7">
        <v>3.5</v>
      </c>
      <c r="P18" s="4"/>
      <c r="U18" s="11"/>
      <c r="V18" s="11"/>
      <c r="X18" s="11"/>
      <c r="Y18" s="11"/>
      <c r="Z18" s="11"/>
    </row>
    <row r="19" spans="1:26" ht="24.75" customHeight="1" x14ac:dyDescent="0.3">
      <c r="A19" s="8" t="s">
        <v>21</v>
      </c>
      <c r="B19" s="8" t="s">
        <v>16</v>
      </c>
      <c r="C19" s="8">
        <v>4</v>
      </c>
      <c r="D19" s="8">
        <v>13</v>
      </c>
      <c r="E19" s="9">
        <f t="shared" si="0"/>
        <v>3.25</v>
      </c>
      <c r="F19" s="8" t="s">
        <v>22</v>
      </c>
      <c r="G19" s="10">
        <v>94.5</v>
      </c>
      <c r="H19" s="10">
        <v>88.875</v>
      </c>
      <c r="I19" s="10">
        <v>84.5</v>
      </c>
      <c r="J19" s="10">
        <v>2</v>
      </c>
      <c r="K19" s="10">
        <v>2.75</v>
      </c>
      <c r="L19" s="10">
        <v>3</v>
      </c>
      <c r="P19" s="4"/>
      <c r="U19" s="11"/>
      <c r="V19" s="11"/>
      <c r="X19" s="11"/>
      <c r="Y19" s="11"/>
      <c r="Z19" s="11"/>
    </row>
    <row r="20" spans="1:26" ht="24.75" customHeight="1" x14ac:dyDescent="0.3">
      <c r="A20" s="5" t="s">
        <v>23</v>
      </c>
      <c r="B20" s="5" t="s">
        <v>16</v>
      </c>
      <c r="C20" s="5">
        <v>10</v>
      </c>
      <c r="D20" s="5">
        <v>33</v>
      </c>
      <c r="E20" s="6">
        <f t="shared" si="0"/>
        <v>3.3</v>
      </c>
      <c r="F20" s="5">
        <v>12</v>
      </c>
      <c r="G20" s="7">
        <v>93.5</v>
      </c>
      <c r="H20" s="7">
        <v>80.041666666666671</v>
      </c>
      <c r="I20" s="7">
        <v>74.5</v>
      </c>
      <c r="J20" s="7">
        <v>2</v>
      </c>
      <c r="K20" s="7">
        <v>3.375</v>
      </c>
      <c r="L20" s="7">
        <v>4</v>
      </c>
      <c r="P20" s="4"/>
      <c r="U20" s="11"/>
      <c r="V20" s="11"/>
      <c r="X20" s="11"/>
      <c r="Y20" s="11"/>
      <c r="Z20" s="11"/>
    </row>
    <row r="21" spans="1:26" ht="24.75" customHeight="1" x14ac:dyDescent="0.3">
      <c r="A21" s="8" t="s">
        <v>24</v>
      </c>
      <c r="B21" s="8" t="s">
        <v>16</v>
      </c>
      <c r="C21" s="8">
        <v>4</v>
      </c>
      <c r="D21" s="8">
        <v>10</v>
      </c>
      <c r="E21" s="9">
        <f t="shared" si="0"/>
        <v>2.5</v>
      </c>
      <c r="F21" s="8">
        <v>4</v>
      </c>
      <c r="G21" s="10">
        <v>82</v>
      </c>
      <c r="H21" s="10">
        <v>79</v>
      </c>
      <c r="I21" s="10">
        <v>77</v>
      </c>
      <c r="J21" s="10">
        <v>3</v>
      </c>
      <c r="K21" s="10">
        <v>3.625</v>
      </c>
      <c r="L21" s="10">
        <v>3.5</v>
      </c>
      <c r="P21" s="4"/>
      <c r="U21" s="11"/>
      <c r="V21" s="11"/>
      <c r="X21" s="11"/>
      <c r="Y21" s="11"/>
      <c r="Z21" s="11"/>
    </row>
    <row r="22" spans="1:26" ht="24.75" customHeight="1" x14ac:dyDescent="0.3">
      <c r="A22" s="5" t="s">
        <v>25</v>
      </c>
      <c r="B22" s="5" t="s">
        <v>16</v>
      </c>
      <c r="C22" s="5">
        <v>1</v>
      </c>
      <c r="D22" s="5">
        <v>4</v>
      </c>
      <c r="E22" s="6">
        <f t="shared" si="0"/>
        <v>4</v>
      </c>
      <c r="F22" s="5" t="s">
        <v>22</v>
      </c>
      <c r="G22" s="7">
        <v>85</v>
      </c>
      <c r="H22" s="7">
        <v>85</v>
      </c>
      <c r="I22" s="7">
        <v>85</v>
      </c>
      <c r="J22" s="7">
        <v>3.5</v>
      </c>
      <c r="K22" s="7">
        <v>3.5</v>
      </c>
      <c r="L22" s="7">
        <v>3.5</v>
      </c>
      <c r="P22" s="4"/>
      <c r="U22" s="11"/>
      <c r="V22" s="11"/>
      <c r="X22" s="11"/>
      <c r="Y22" s="11"/>
      <c r="Z22" s="11"/>
    </row>
    <row r="23" spans="1:26" ht="24.75" customHeight="1" x14ac:dyDescent="0.3">
      <c r="A23" s="8" t="s">
        <v>26</v>
      </c>
      <c r="B23" s="8" t="s">
        <v>16</v>
      </c>
      <c r="C23" s="8">
        <v>2</v>
      </c>
      <c r="D23" s="8">
        <v>13</v>
      </c>
      <c r="E23" s="9">
        <f t="shared" si="0"/>
        <v>6.5</v>
      </c>
      <c r="F23" s="8">
        <v>3</v>
      </c>
      <c r="G23" s="10">
        <v>96.5</v>
      </c>
      <c r="H23" s="10">
        <v>89.625</v>
      </c>
      <c r="I23" s="10">
        <v>87.5</v>
      </c>
      <c r="J23" s="10">
        <v>1.5</v>
      </c>
      <c r="K23" s="10">
        <v>2.625</v>
      </c>
      <c r="L23" s="10">
        <v>3</v>
      </c>
      <c r="P23" s="4"/>
      <c r="U23" s="11"/>
      <c r="V23" s="11"/>
      <c r="X23" s="11"/>
      <c r="Y23" s="11"/>
      <c r="Z23" s="11"/>
    </row>
    <row r="24" spans="1:26" ht="24.75" customHeight="1" x14ac:dyDescent="0.3">
      <c r="A24" s="5" t="s">
        <v>27</v>
      </c>
      <c r="B24" s="5" t="s">
        <v>16</v>
      </c>
      <c r="C24" s="5">
        <v>3</v>
      </c>
      <c r="D24" s="5">
        <v>5</v>
      </c>
      <c r="E24" s="6">
        <f t="shared" si="0"/>
        <v>1.6666666666666667</v>
      </c>
      <c r="F24" s="5">
        <v>2</v>
      </c>
      <c r="G24" s="7">
        <v>86.5</v>
      </c>
      <c r="H24" s="7">
        <v>74.25</v>
      </c>
      <c r="I24" s="7">
        <v>79.5</v>
      </c>
      <c r="J24" s="7">
        <v>3</v>
      </c>
      <c r="K24" s="7">
        <v>4.125</v>
      </c>
      <c r="L24" s="7">
        <v>4</v>
      </c>
      <c r="P24" s="4"/>
      <c r="U24" s="11"/>
      <c r="V24" s="11"/>
      <c r="X24" s="11"/>
      <c r="Y24" s="11"/>
      <c r="Z24" s="11"/>
    </row>
    <row r="25" spans="1:26" ht="24.75" customHeight="1" x14ac:dyDescent="0.3">
      <c r="A25" s="8" t="s">
        <v>28</v>
      </c>
      <c r="B25" s="8" t="s">
        <v>16</v>
      </c>
      <c r="C25" s="8">
        <v>4</v>
      </c>
      <c r="D25" s="8">
        <v>7</v>
      </c>
      <c r="E25" s="9">
        <f t="shared" si="0"/>
        <v>1.75</v>
      </c>
      <c r="F25" s="8">
        <v>2</v>
      </c>
      <c r="G25" s="10">
        <v>87</v>
      </c>
      <c r="H25" s="10">
        <v>81.166666666666671</v>
      </c>
      <c r="I25" s="10">
        <v>78</v>
      </c>
      <c r="J25" s="10">
        <v>2.5</v>
      </c>
      <c r="K25" s="10">
        <v>3.4166666666666665</v>
      </c>
      <c r="L25" s="10">
        <v>4</v>
      </c>
      <c r="P25" s="4"/>
      <c r="U25" s="11"/>
      <c r="V25" s="11"/>
      <c r="X25" s="11"/>
      <c r="Y25" s="11"/>
      <c r="Z25" s="11"/>
    </row>
    <row r="26" spans="1:26" ht="24.75" customHeight="1" x14ac:dyDescent="0.3">
      <c r="A26" s="5" t="s">
        <v>29</v>
      </c>
      <c r="B26" s="5" t="s">
        <v>16</v>
      </c>
      <c r="C26" s="5">
        <v>7</v>
      </c>
      <c r="D26" s="5">
        <v>11</v>
      </c>
      <c r="E26" s="6">
        <f t="shared" si="0"/>
        <v>1.5714285714285714</v>
      </c>
      <c r="F26" s="5">
        <v>4</v>
      </c>
      <c r="G26" s="7">
        <v>77</v>
      </c>
      <c r="H26" s="7">
        <v>69.5</v>
      </c>
      <c r="I26" s="7">
        <v>64</v>
      </c>
      <c r="J26" s="7">
        <v>4.5</v>
      </c>
      <c r="K26" s="7">
        <v>4.833333333333333</v>
      </c>
      <c r="L26" s="7">
        <v>5.5</v>
      </c>
      <c r="P26" s="4"/>
      <c r="U26" s="11"/>
      <c r="V26" s="11"/>
      <c r="X26" s="11"/>
      <c r="Y26" s="11"/>
      <c r="Z26" s="11"/>
    </row>
    <row r="27" spans="1:26" ht="24.75" customHeight="1" x14ac:dyDescent="0.3">
      <c r="A27" s="8" t="s">
        <v>30</v>
      </c>
      <c r="B27" s="8" t="s">
        <v>16</v>
      </c>
      <c r="C27" s="8">
        <v>8</v>
      </c>
      <c r="D27" s="8">
        <v>39</v>
      </c>
      <c r="E27" s="9">
        <f t="shared" si="0"/>
        <v>4.875</v>
      </c>
      <c r="F27" s="8">
        <v>5</v>
      </c>
      <c r="G27" s="10">
        <v>93.5</v>
      </c>
      <c r="H27" s="10">
        <v>89.666666666666671</v>
      </c>
      <c r="I27" s="10">
        <v>84.5</v>
      </c>
      <c r="J27" s="10">
        <v>2</v>
      </c>
      <c r="K27" s="10">
        <v>2.3888888888888888</v>
      </c>
      <c r="L27" s="10">
        <v>3</v>
      </c>
      <c r="P27" s="4"/>
      <c r="U27" s="11"/>
      <c r="V27" s="11"/>
      <c r="X27" s="11"/>
      <c r="Y27" s="11"/>
      <c r="Z27" s="11"/>
    </row>
    <row r="28" spans="1:26" ht="24.75" customHeight="1" x14ac:dyDescent="0.3">
      <c r="A28" s="5" t="s">
        <v>31</v>
      </c>
      <c r="B28" s="5" t="s">
        <v>16</v>
      </c>
      <c r="C28" s="5">
        <v>19</v>
      </c>
      <c r="D28" s="5">
        <v>7</v>
      </c>
      <c r="E28" s="6">
        <f t="shared" si="0"/>
        <v>0.36842105263157893</v>
      </c>
      <c r="F28" s="5" t="s">
        <v>22</v>
      </c>
      <c r="G28" s="7" t="s">
        <v>22</v>
      </c>
      <c r="H28" s="7" t="s">
        <v>22</v>
      </c>
      <c r="I28" s="7" t="s">
        <v>22</v>
      </c>
      <c r="J28" s="7" t="s">
        <v>22</v>
      </c>
      <c r="K28" s="7" t="s">
        <v>22</v>
      </c>
      <c r="L28" s="7" t="s">
        <v>22</v>
      </c>
      <c r="P28" s="4"/>
      <c r="U28" s="11"/>
      <c r="V28" s="11"/>
      <c r="X28" s="11"/>
      <c r="Y28" s="11"/>
      <c r="Z28" s="11"/>
    </row>
    <row r="29" spans="1:26" ht="24.75" customHeight="1" x14ac:dyDescent="0.3">
      <c r="A29" s="8" t="s">
        <v>32</v>
      </c>
      <c r="B29" s="8" t="s">
        <v>16</v>
      </c>
      <c r="C29" s="8">
        <v>80</v>
      </c>
      <c r="D29" s="8">
        <v>30</v>
      </c>
      <c r="E29" s="9">
        <f t="shared" si="0"/>
        <v>0.375</v>
      </c>
      <c r="F29" s="8" t="s">
        <v>22</v>
      </c>
      <c r="G29" s="10">
        <v>76</v>
      </c>
      <c r="H29" s="10">
        <v>62.4375</v>
      </c>
      <c r="I29" s="10">
        <v>55</v>
      </c>
      <c r="J29" s="10">
        <v>4.5</v>
      </c>
      <c r="K29" s="10">
        <v>5.125</v>
      </c>
      <c r="L29" s="10">
        <v>5.5</v>
      </c>
      <c r="P29" s="4"/>
      <c r="U29" s="11"/>
      <c r="V29" s="11"/>
      <c r="X29" s="11"/>
      <c r="Y29" s="11"/>
      <c r="Z29" s="11"/>
    </row>
    <row r="30" spans="1:26" ht="24.75" customHeight="1" x14ac:dyDescent="0.3">
      <c r="A30" s="12"/>
      <c r="B30" s="12"/>
      <c r="C30" s="12"/>
      <c r="D30" s="12"/>
      <c r="E30" s="13"/>
      <c r="F30" s="12"/>
      <c r="G30" s="14"/>
      <c r="H30" s="14"/>
      <c r="I30" s="14"/>
      <c r="J30" s="14"/>
      <c r="K30" s="14"/>
      <c r="L30" s="14"/>
      <c r="P30" s="4"/>
      <c r="U30" s="11"/>
      <c r="V30" s="11"/>
      <c r="X30" s="11"/>
      <c r="Y30" s="11"/>
      <c r="Z30" s="11"/>
    </row>
    <row r="31" spans="1:26" ht="24.75" customHeight="1" x14ac:dyDescent="0.3">
      <c r="A31" s="12"/>
      <c r="B31" s="12"/>
      <c r="C31" s="12"/>
      <c r="D31" s="12"/>
      <c r="E31" s="13"/>
      <c r="F31" s="12"/>
      <c r="G31" s="14"/>
      <c r="H31" s="14"/>
      <c r="I31" s="14"/>
      <c r="J31" s="14"/>
      <c r="K31" s="14"/>
      <c r="L31" s="14"/>
      <c r="P31" s="4"/>
      <c r="U31" s="11"/>
      <c r="V31" s="11"/>
      <c r="X31" s="11"/>
      <c r="Y31" s="11"/>
      <c r="Z31" s="11"/>
    </row>
    <row r="32" spans="1:26" ht="24.75" customHeight="1" x14ac:dyDescent="0.3">
      <c r="A32" s="12"/>
      <c r="B32" s="12"/>
      <c r="C32" s="12"/>
      <c r="D32" s="12"/>
      <c r="E32" s="13"/>
      <c r="F32" s="12"/>
      <c r="G32" s="14"/>
      <c r="H32" s="14"/>
      <c r="I32" s="14"/>
      <c r="J32" s="14"/>
      <c r="K32" s="14"/>
      <c r="L32" s="14"/>
      <c r="P32" s="4"/>
      <c r="U32" s="11"/>
      <c r="V32" s="11"/>
      <c r="X32" s="11"/>
      <c r="Y32" s="11"/>
      <c r="Z32" s="11"/>
    </row>
    <row r="33" spans="1:26" x14ac:dyDescent="0.3">
      <c r="M33" s="11"/>
      <c r="N33" s="11"/>
      <c r="P33" s="11"/>
      <c r="Q33" s="11"/>
      <c r="R33" s="11"/>
      <c r="T33" s="11"/>
      <c r="U33" s="11"/>
      <c r="V33" s="11"/>
      <c r="X33" s="11"/>
      <c r="Y33" s="11"/>
      <c r="Z33" s="11"/>
    </row>
    <row r="34" spans="1:26" ht="10.5" customHeight="1" x14ac:dyDescent="0.3">
      <c r="M34" s="11"/>
      <c r="N34" s="11"/>
      <c r="P34" s="11"/>
      <c r="Q34" s="11"/>
      <c r="R34" s="11"/>
      <c r="T34" s="11"/>
      <c r="U34" s="11"/>
      <c r="V34" s="11"/>
      <c r="X34" s="11"/>
      <c r="Y34" s="11"/>
      <c r="Z34" s="11"/>
    </row>
    <row r="35" spans="1:26" x14ac:dyDescent="0.3">
      <c r="A35" s="2" t="s">
        <v>33</v>
      </c>
      <c r="M35" s="11"/>
      <c r="N35" s="11"/>
      <c r="P35" s="11"/>
      <c r="Q35" s="11"/>
      <c r="R35" s="11"/>
      <c r="T35" s="11"/>
      <c r="U35" s="11"/>
      <c r="V35" s="11"/>
      <c r="X35" s="11"/>
      <c r="Y35" s="11"/>
      <c r="Z35" s="11"/>
    </row>
    <row r="36" spans="1:26" x14ac:dyDescent="0.3">
      <c r="A36" s="18" t="s">
        <v>2</v>
      </c>
      <c r="B36" s="18" t="s">
        <v>3</v>
      </c>
      <c r="C36" s="19" t="s">
        <v>4</v>
      </c>
      <c r="D36" s="19"/>
      <c r="E36" s="19"/>
      <c r="F36" s="20" t="s">
        <v>34</v>
      </c>
      <c r="G36" s="17" t="s">
        <v>6</v>
      </c>
      <c r="H36" s="17"/>
      <c r="I36" s="17"/>
      <c r="J36" s="17"/>
      <c r="K36" s="17"/>
      <c r="L36" s="17"/>
      <c r="M36" s="11"/>
      <c r="N36" s="11"/>
      <c r="P36" s="11"/>
      <c r="Q36" s="11"/>
      <c r="R36" s="11"/>
      <c r="T36" s="11"/>
      <c r="U36" s="11"/>
      <c r="V36" s="11"/>
      <c r="X36" s="11"/>
      <c r="Y36" s="11"/>
      <c r="Z36" s="11"/>
    </row>
    <row r="37" spans="1:26" ht="16.5" customHeight="1" x14ac:dyDescent="0.3">
      <c r="A37" s="18"/>
      <c r="B37" s="18"/>
      <c r="C37" s="19"/>
      <c r="D37" s="19"/>
      <c r="E37" s="19"/>
      <c r="F37" s="21"/>
      <c r="G37" s="17" t="s">
        <v>35</v>
      </c>
      <c r="H37" s="17"/>
      <c r="I37" s="17"/>
      <c r="J37" s="17" t="s">
        <v>36</v>
      </c>
      <c r="K37" s="17"/>
      <c r="L37" s="17"/>
      <c r="M37" s="11"/>
      <c r="N37" s="11"/>
      <c r="P37" s="11"/>
      <c r="Q37" s="11"/>
      <c r="R37" s="11"/>
      <c r="T37" s="11"/>
      <c r="U37" s="11"/>
      <c r="V37" s="11"/>
      <c r="X37" s="11"/>
      <c r="Y37" s="11"/>
      <c r="Z37" s="11"/>
    </row>
    <row r="38" spans="1:26" ht="33" x14ac:dyDescent="0.3">
      <c r="A38" s="18"/>
      <c r="B38" s="18"/>
      <c r="C38" s="3" t="s">
        <v>9</v>
      </c>
      <c r="D38" s="3" t="s">
        <v>10</v>
      </c>
      <c r="E38" s="3" t="s">
        <v>11</v>
      </c>
      <c r="F38" s="22"/>
      <c r="G38" s="3" t="s">
        <v>12</v>
      </c>
      <c r="H38" s="3" t="s">
        <v>13</v>
      </c>
      <c r="I38" s="3" t="s">
        <v>14</v>
      </c>
      <c r="J38" s="3" t="s">
        <v>12</v>
      </c>
      <c r="K38" s="3" t="s">
        <v>13</v>
      </c>
      <c r="L38" s="3" t="s">
        <v>14</v>
      </c>
      <c r="M38" s="11"/>
      <c r="N38" s="11"/>
      <c r="P38" s="11"/>
      <c r="Q38" s="11"/>
      <c r="R38" s="11"/>
      <c r="T38" s="11"/>
      <c r="U38" s="11"/>
      <c r="V38" s="11"/>
      <c r="X38" s="11"/>
      <c r="Y38" s="11"/>
      <c r="Z38" s="11"/>
    </row>
    <row r="39" spans="1:26" ht="23.25" customHeight="1" x14ac:dyDescent="0.3">
      <c r="A39" s="25" t="s">
        <v>17</v>
      </c>
      <c r="B39" s="25" t="s">
        <v>37</v>
      </c>
      <c r="C39" s="25">
        <v>4</v>
      </c>
      <c r="D39" s="25">
        <v>4</v>
      </c>
      <c r="E39" s="26">
        <f t="shared" ref="E39:E50" si="1">D39/C39</f>
        <v>1</v>
      </c>
      <c r="F39" s="25" t="s">
        <v>22</v>
      </c>
      <c r="G39" s="27">
        <v>57.5</v>
      </c>
      <c r="H39" s="27">
        <v>57.5</v>
      </c>
      <c r="I39" s="27">
        <v>57.5</v>
      </c>
      <c r="J39" s="27">
        <v>5.5</v>
      </c>
      <c r="K39" s="27">
        <v>5.5</v>
      </c>
      <c r="L39" s="27">
        <v>5.5</v>
      </c>
      <c r="M39" s="11"/>
      <c r="N39" s="11"/>
      <c r="P39" s="11"/>
      <c r="Q39" s="11"/>
      <c r="R39" s="11"/>
      <c r="T39" s="11"/>
      <c r="U39" s="11"/>
      <c r="V39" s="11"/>
      <c r="X39" s="11"/>
      <c r="Y39" s="11"/>
      <c r="Z39" s="11"/>
    </row>
    <row r="40" spans="1:26" ht="23.25" customHeight="1" x14ac:dyDescent="0.3">
      <c r="A40" s="25" t="s">
        <v>18</v>
      </c>
      <c r="B40" s="25" t="s">
        <v>37</v>
      </c>
      <c r="C40" s="25">
        <v>3</v>
      </c>
      <c r="D40" s="25">
        <v>2</v>
      </c>
      <c r="E40" s="26">
        <f t="shared" si="1"/>
        <v>0.66666666666666663</v>
      </c>
      <c r="F40" s="25" t="s">
        <v>22</v>
      </c>
      <c r="G40" s="27"/>
      <c r="H40" s="27"/>
      <c r="I40" s="27"/>
      <c r="J40" s="27"/>
      <c r="K40" s="27"/>
      <c r="L40" s="27"/>
      <c r="M40" s="11"/>
      <c r="N40" s="11"/>
      <c r="P40" s="11"/>
      <c r="Q40" s="11"/>
      <c r="R40" s="11"/>
      <c r="T40" s="11"/>
      <c r="U40" s="11"/>
      <c r="V40" s="11"/>
      <c r="X40" s="11"/>
      <c r="Y40" s="11"/>
      <c r="Z40" s="11"/>
    </row>
    <row r="41" spans="1:26" ht="23.25" customHeight="1" x14ac:dyDescent="0.3">
      <c r="A41" s="25" t="s">
        <v>32</v>
      </c>
      <c r="B41" s="25" t="s">
        <v>37</v>
      </c>
      <c r="C41" s="25">
        <v>1</v>
      </c>
      <c r="D41" s="25">
        <v>0</v>
      </c>
      <c r="E41" s="26">
        <f t="shared" si="1"/>
        <v>0</v>
      </c>
      <c r="F41" s="25" t="s">
        <v>22</v>
      </c>
      <c r="G41" s="27"/>
      <c r="H41" s="27"/>
      <c r="I41" s="27"/>
      <c r="J41" s="27"/>
      <c r="K41" s="27"/>
      <c r="L41" s="27"/>
      <c r="M41" s="11"/>
      <c r="N41" s="11"/>
      <c r="P41" s="11"/>
      <c r="Q41" s="11"/>
      <c r="R41" s="11"/>
      <c r="T41" s="11"/>
      <c r="U41" s="11"/>
      <c r="V41" s="11"/>
      <c r="X41" s="11"/>
      <c r="Y41" s="11"/>
      <c r="Z41" s="11"/>
    </row>
    <row r="42" spans="1:26" ht="23.25" customHeight="1" x14ac:dyDescent="0.3">
      <c r="A42" s="8" t="s">
        <v>15</v>
      </c>
      <c r="B42" s="8" t="s">
        <v>38</v>
      </c>
      <c r="C42" s="8">
        <v>1</v>
      </c>
      <c r="D42" s="8">
        <v>1</v>
      </c>
      <c r="E42" s="9">
        <f t="shared" si="1"/>
        <v>1</v>
      </c>
      <c r="F42" s="8" t="s">
        <v>22</v>
      </c>
      <c r="G42" s="10">
        <v>53.5</v>
      </c>
      <c r="H42" s="10">
        <v>53.5</v>
      </c>
      <c r="I42" s="10">
        <v>53.5</v>
      </c>
      <c r="J42" s="10">
        <v>6</v>
      </c>
      <c r="K42" s="10">
        <v>6</v>
      </c>
      <c r="L42" s="10">
        <v>6</v>
      </c>
      <c r="M42" s="11"/>
      <c r="N42" s="11"/>
      <c r="P42" s="11"/>
      <c r="Q42" s="11"/>
      <c r="R42" s="11"/>
      <c r="T42" s="11"/>
      <c r="U42" s="11"/>
      <c r="V42" s="11"/>
      <c r="X42" s="11"/>
      <c r="Y42" s="11"/>
      <c r="Z42" s="11"/>
    </row>
    <row r="43" spans="1:26" ht="23.25" customHeight="1" x14ac:dyDescent="0.3">
      <c r="A43" s="8" t="s">
        <v>17</v>
      </c>
      <c r="B43" s="8" t="s">
        <v>38</v>
      </c>
      <c r="C43" s="8">
        <v>5</v>
      </c>
      <c r="D43" s="8">
        <v>6</v>
      </c>
      <c r="E43" s="9">
        <f t="shared" si="1"/>
        <v>1.2</v>
      </c>
      <c r="F43" s="8">
        <v>1</v>
      </c>
      <c r="G43" s="10">
        <v>61.5</v>
      </c>
      <c r="H43" s="10">
        <v>59.75</v>
      </c>
      <c r="I43" s="10">
        <v>58</v>
      </c>
      <c r="J43" s="10">
        <v>5.5</v>
      </c>
      <c r="K43" s="10">
        <v>5.5</v>
      </c>
      <c r="L43" s="10">
        <v>5.5</v>
      </c>
      <c r="M43" s="11"/>
      <c r="N43" s="11"/>
      <c r="P43" s="11"/>
      <c r="Q43" s="11"/>
      <c r="R43" s="11"/>
      <c r="T43" s="11"/>
      <c r="U43" s="11"/>
      <c r="V43" s="11"/>
      <c r="X43" s="11"/>
      <c r="Y43" s="11"/>
      <c r="Z43" s="11"/>
    </row>
    <row r="44" spans="1:26" ht="23.25" customHeight="1" x14ac:dyDescent="0.3">
      <c r="A44" s="8" t="s">
        <v>18</v>
      </c>
      <c r="B44" s="8" t="s">
        <v>38</v>
      </c>
      <c r="C44" s="8">
        <v>5</v>
      </c>
      <c r="D44" s="8">
        <v>0</v>
      </c>
      <c r="E44" s="9">
        <f t="shared" si="1"/>
        <v>0</v>
      </c>
      <c r="F44" s="8" t="s">
        <v>22</v>
      </c>
      <c r="G44" s="10"/>
      <c r="H44" s="10"/>
      <c r="I44" s="10"/>
      <c r="J44" s="10"/>
      <c r="K44" s="10"/>
      <c r="L44" s="10"/>
      <c r="M44" s="11"/>
      <c r="N44" s="11"/>
      <c r="P44" s="11"/>
      <c r="Q44" s="11"/>
      <c r="R44" s="11"/>
      <c r="T44" s="11"/>
      <c r="U44" s="11"/>
      <c r="V44" s="11"/>
      <c r="X44" s="11"/>
      <c r="Y44" s="11"/>
      <c r="Z44" s="11"/>
    </row>
    <row r="45" spans="1:26" ht="23.25" customHeight="1" x14ac:dyDescent="0.3">
      <c r="A45" s="8" t="s">
        <v>32</v>
      </c>
      <c r="B45" s="8" t="s">
        <v>38</v>
      </c>
      <c r="C45" s="8">
        <v>1</v>
      </c>
      <c r="D45" s="8">
        <v>0</v>
      </c>
      <c r="E45" s="9">
        <f t="shared" si="1"/>
        <v>0</v>
      </c>
      <c r="F45" s="8" t="s">
        <v>22</v>
      </c>
      <c r="G45" s="10"/>
      <c r="H45" s="10"/>
      <c r="I45" s="10"/>
      <c r="J45" s="10"/>
      <c r="K45" s="10"/>
      <c r="L45" s="10"/>
      <c r="M45" s="11"/>
      <c r="N45" s="11"/>
      <c r="P45" s="11"/>
      <c r="Q45" s="11"/>
      <c r="R45" s="11"/>
      <c r="T45" s="11"/>
      <c r="U45" s="11"/>
      <c r="V45" s="11"/>
      <c r="X45" s="11"/>
      <c r="Y45" s="11"/>
      <c r="Z45" s="11"/>
    </row>
    <row r="46" spans="1:26" ht="23.25" customHeight="1" x14ac:dyDescent="0.3">
      <c r="A46" s="25" t="s">
        <v>17</v>
      </c>
      <c r="B46" s="25" t="s">
        <v>39</v>
      </c>
      <c r="C46" s="25">
        <v>9</v>
      </c>
      <c r="D46" s="25">
        <v>9</v>
      </c>
      <c r="E46" s="26">
        <f t="shared" si="1"/>
        <v>1</v>
      </c>
      <c r="F46" s="25">
        <v>1</v>
      </c>
      <c r="G46" s="27">
        <v>79.5</v>
      </c>
      <c r="H46" s="27">
        <v>70.125</v>
      </c>
      <c r="I46" s="27">
        <v>66</v>
      </c>
      <c r="J46" s="27">
        <v>4</v>
      </c>
      <c r="K46" s="27">
        <v>4.75</v>
      </c>
      <c r="L46" s="27">
        <v>5</v>
      </c>
      <c r="M46" s="11"/>
      <c r="N46" s="11"/>
      <c r="P46" s="11"/>
      <c r="Q46" s="11"/>
      <c r="R46" s="11"/>
      <c r="T46" s="11"/>
      <c r="U46" s="11"/>
      <c r="V46" s="11"/>
      <c r="X46" s="11"/>
      <c r="Y46" s="11"/>
      <c r="Z46" s="11"/>
    </row>
    <row r="47" spans="1:26" ht="23.25" customHeight="1" x14ac:dyDescent="0.3">
      <c r="A47" s="25" t="s">
        <v>18</v>
      </c>
      <c r="B47" s="25" t="s">
        <v>39</v>
      </c>
      <c r="C47" s="25">
        <v>6</v>
      </c>
      <c r="D47" s="25">
        <v>4</v>
      </c>
      <c r="E47" s="26">
        <f t="shared" si="1"/>
        <v>0.66666666666666663</v>
      </c>
      <c r="F47" s="25" t="s">
        <v>22</v>
      </c>
      <c r="G47" s="27">
        <v>63.5</v>
      </c>
      <c r="H47" s="27">
        <v>59.5</v>
      </c>
      <c r="I47" s="27">
        <v>55.5</v>
      </c>
      <c r="J47" s="27">
        <v>5</v>
      </c>
      <c r="K47" s="27">
        <v>5.25</v>
      </c>
      <c r="L47" s="27">
        <v>5.5</v>
      </c>
    </row>
    <row r="48" spans="1:26" ht="23.25" customHeight="1" x14ac:dyDescent="0.3">
      <c r="A48" s="25" t="s">
        <v>40</v>
      </c>
      <c r="B48" s="25" t="s">
        <v>39</v>
      </c>
      <c r="C48" s="25">
        <v>1</v>
      </c>
      <c r="D48" s="25">
        <v>2</v>
      </c>
      <c r="E48" s="26">
        <f t="shared" si="1"/>
        <v>2</v>
      </c>
      <c r="F48" s="25">
        <v>1</v>
      </c>
      <c r="G48" s="27">
        <v>63.5</v>
      </c>
      <c r="H48" s="27">
        <v>63.5</v>
      </c>
      <c r="I48" s="27">
        <v>63.5</v>
      </c>
      <c r="J48" s="27">
        <v>5</v>
      </c>
      <c r="K48" s="27">
        <v>5</v>
      </c>
      <c r="L48" s="27">
        <v>5</v>
      </c>
    </row>
    <row r="49" spans="1:12" ht="23.25" customHeight="1" x14ac:dyDescent="0.3">
      <c r="A49" s="25" t="s">
        <v>41</v>
      </c>
      <c r="B49" s="25" t="s">
        <v>39</v>
      </c>
      <c r="C49" s="25">
        <v>1</v>
      </c>
      <c r="D49" s="25">
        <v>2</v>
      </c>
      <c r="E49" s="26">
        <f t="shared" si="1"/>
        <v>2</v>
      </c>
      <c r="F49" s="25">
        <v>1</v>
      </c>
      <c r="G49" s="27">
        <v>73</v>
      </c>
      <c r="H49" s="27">
        <v>73</v>
      </c>
      <c r="I49" s="27">
        <v>73</v>
      </c>
      <c r="J49" s="27">
        <v>4</v>
      </c>
      <c r="K49" s="27">
        <v>4</v>
      </c>
      <c r="L49" s="27">
        <v>4</v>
      </c>
    </row>
    <row r="50" spans="1:12" ht="23.25" customHeight="1" x14ac:dyDescent="0.3">
      <c r="A50" s="25" t="s">
        <v>32</v>
      </c>
      <c r="B50" s="25" t="s">
        <v>39</v>
      </c>
      <c r="C50" s="25">
        <v>2</v>
      </c>
      <c r="D50" s="25">
        <v>0</v>
      </c>
      <c r="E50" s="26">
        <f t="shared" si="1"/>
        <v>0</v>
      </c>
      <c r="F50" s="25" t="s">
        <v>22</v>
      </c>
      <c r="G50" s="25"/>
      <c r="H50" s="25"/>
      <c r="I50" s="25"/>
      <c r="J50" s="25"/>
      <c r="K50" s="25"/>
      <c r="L50" s="25"/>
    </row>
  </sheetData>
  <mergeCells count="15">
    <mergeCell ref="A1:L1"/>
    <mergeCell ref="A11:A13"/>
    <mergeCell ref="B11:B13"/>
    <mergeCell ref="C11:E12"/>
    <mergeCell ref="F11:F13"/>
    <mergeCell ref="G11:L11"/>
    <mergeCell ref="G12:I12"/>
    <mergeCell ref="J12:L12"/>
    <mergeCell ref="A36:A38"/>
    <mergeCell ref="B36:B38"/>
    <mergeCell ref="C36:E37"/>
    <mergeCell ref="F36:F38"/>
    <mergeCell ref="G36:L36"/>
    <mergeCell ref="G37:I37"/>
    <mergeCell ref="J37:L37"/>
  </mergeCells>
  <phoneticPr fontId="3" type="noConversion"/>
  <pageMargins left="0.39370078740157483" right="0.39370078740157483" top="0.39370078740157483" bottom="0.39370078740157483" header="0.15748031496062992" footer="0.31496062992125984"/>
  <pageSetup paperSize="9" scale="69" orientation="landscape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전년도 입결자료</vt:lpstr>
      <vt:lpstr>'전년도 입결자료'!Print_Titles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2025-04-15T00:57:04Z</dcterms:created>
  <dcterms:modified xsi:type="dcterms:W3CDTF">2025-12-16T05:59:45Z</dcterms:modified>
</cp:coreProperties>
</file>