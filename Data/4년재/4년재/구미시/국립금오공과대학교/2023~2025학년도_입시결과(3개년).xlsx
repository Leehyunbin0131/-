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입시자료\2024년 자료\전형자료\"/>
    </mc:Choice>
  </mc:AlternateContent>
  <xr:revisionPtr revIDLastSave="0" documentId="13_ncr:1_{B2A98C2A-6C96-4896-B2A5-8125B13ACCB0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학생부교과전형" sheetId="1" r:id="rId1"/>
    <sheet name="학생부종합전형" sheetId="2" r:id="rId2"/>
    <sheet name="정시일반전형" sheetId="3" r:id="rId3"/>
  </sheets>
  <definedNames>
    <definedName name="_xlnm.Print_Titles" localSheetId="0">학생부교과전형!$4:$6</definedName>
    <definedName name="_xlnm.Print_Titles" localSheetId="1">학생부종합전형!$3:$5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17" i="1" l="1"/>
  <c r="AM117" i="1"/>
  <c r="AN60" i="1"/>
  <c r="AM60" i="1"/>
  <c r="AM33" i="1"/>
  <c r="AN33" i="1"/>
  <c r="J60" i="1"/>
  <c r="J59" i="1"/>
  <c r="J57" i="1"/>
  <c r="J53" i="1"/>
  <c r="J52" i="1"/>
  <c r="J49" i="1"/>
  <c r="J48" i="1"/>
  <c r="J45" i="1"/>
  <c r="J40" i="1"/>
  <c r="J36" i="1"/>
  <c r="I60" i="1"/>
  <c r="I59" i="1"/>
  <c r="I58" i="1"/>
  <c r="I57" i="1"/>
  <c r="I53" i="1"/>
  <c r="I52" i="1"/>
  <c r="I49" i="1"/>
  <c r="I48" i="1"/>
  <c r="I45" i="1"/>
  <c r="I44" i="1"/>
  <c r="I40" i="1"/>
  <c r="I36" i="1"/>
  <c r="J11" i="1"/>
  <c r="J15" i="1"/>
  <c r="J16" i="1"/>
  <c r="J19" i="1"/>
  <c r="J22" i="1"/>
  <c r="J23" i="1"/>
  <c r="J26" i="1"/>
  <c r="J27" i="1"/>
  <c r="J31" i="1"/>
  <c r="J32" i="1"/>
  <c r="J33" i="1"/>
  <c r="J34" i="1"/>
  <c r="J35" i="1"/>
  <c r="J7" i="1"/>
  <c r="I35" i="1"/>
  <c r="I34" i="1"/>
  <c r="I33" i="1"/>
  <c r="I32" i="1"/>
  <c r="I31" i="1"/>
  <c r="I27" i="1"/>
  <c r="I26" i="1"/>
  <c r="I23" i="1"/>
  <c r="I22" i="1"/>
  <c r="I19" i="1"/>
  <c r="I16" i="1"/>
  <c r="I15" i="1"/>
  <c r="I11" i="1"/>
  <c r="I7" i="1"/>
  <c r="AN100" i="1" l="1"/>
  <c r="AN92" i="1"/>
  <c r="AN113" i="1"/>
  <c r="AN108" i="1"/>
  <c r="AN107" i="1"/>
  <c r="AN106" i="1"/>
  <c r="AN91" i="1"/>
  <c r="AN110" i="1"/>
  <c r="AN103" i="1"/>
  <c r="AN99" i="1"/>
  <c r="AN90" i="1"/>
  <c r="AN104" i="1"/>
  <c r="AN96" i="1"/>
  <c r="AN95" i="1"/>
  <c r="AN94" i="1"/>
  <c r="AN58" i="1"/>
  <c r="AN47" i="1"/>
  <c r="AN56" i="1"/>
  <c r="AN39" i="1"/>
  <c r="AN57" i="1"/>
  <c r="AN52" i="1"/>
  <c r="AN51" i="1"/>
  <c r="AN50" i="1"/>
  <c r="AN38" i="1"/>
  <c r="AN55" i="1"/>
  <c r="AN54" i="1"/>
  <c r="AN46" i="1"/>
  <c r="AN37" i="1"/>
  <c r="AN48" i="1"/>
  <c r="AN43" i="1"/>
  <c r="AN42" i="1"/>
  <c r="AN41" i="1"/>
  <c r="AN35" i="1"/>
  <c r="AN18" i="1"/>
  <c r="AN30" i="1"/>
  <c r="AN10" i="1"/>
  <c r="AN32" i="1"/>
  <c r="AN31" i="1"/>
  <c r="AN26" i="1"/>
  <c r="AN25" i="1"/>
  <c r="AN24" i="1"/>
  <c r="AN9" i="1"/>
  <c r="AN29" i="1"/>
  <c r="AN28" i="1"/>
  <c r="AN20" i="1"/>
  <c r="AN21" i="1"/>
  <c r="AN17" i="1"/>
  <c r="AN8" i="1"/>
  <c r="AN22" i="1"/>
  <c r="AN14" i="1"/>
  <c r="AN13" i="1"/>
  <c r="AN12" i="1"/>
  <c r="AM116" i="1" l="1"/>
  <c r="AM100" i="1"/>
  <c r="AM112" i="1"/>
  <c r="AM92" i="1"/>
  <c r="AM114" i="1"/>
  <c r="AM113" i="1"/>
  <c r="AM108" i="1"/>
  <c r="AM107" i="1"/>
  <c r="AM106" i="1"/>
  <c r="AM91" i="1"/>
  <c r="AM111" i="1"/>
  <c r="AM110" i="1"/>
  <c r="AM102" i="1"/>
  <c r="AM103" i="1"/>
  <c r="AM99" i="1"/>
  <c r="AM90" i="1"/>
  <c r="AM104" i="1"/>
  <c r="AM96" i="1"/>
  <c r="AM95" i="1"/>
  <c r="AM94" i="1"/>
  <c r="AM58" i="1"/>
  <c r="AM47" i="1"/>
  <c r="AM56" i="1"/>
  <c r="AM39" i="1"/>
  <c r="AM57" i="1"/>
  <c r="AM52" i="1"/>
  <c r="AM51" i="1"/>
  <c r="AM50" i="1"/>
  <c r="AM38" i="1"/>
  <c r="AM55" i="1"/>
  <c r="AM54" i="1"/>
  <c r="AM46" i="1"/>
  <c r="AM37" i="1"/>
  <c r="AM48" i="1"/>
  <c r="AM43" i="1"/>
  <c r="AM42" i="1"/>
  <c r="AM41" i="1"/>
  <c r="AM35" i="1"/>
  <c r="AM18" i="1"/>
  <c r="AM30" i="1"/>
  <c r="AM10" i="1"/>
  <c r="AM32" i="1"/>
  <c r="AM31" i="1"/>
  <c r="AM26" i="1"/>
  <c r="AM25" i="1"/>
  <c r="AM24" i="1"/>
  <c r="AM9" i="1"/>
  <c r="AM29" i="1"/>
  <c r="AM28" i="1"/>
  <c r="AM20" i="1"/>
  <c r="AM21" i="1"/>
  <c r="AM17" i="1"/>
  <c r="AM8" i="1"/>
  <c r="AM22" i="1"/>
  <c r="AM14" i="1"/>
  <c r="AM13" i="1"/>
  <c r="AM12" i="1"/>
</calcChain>
</file>

<file path=xl/sharedStrings.xml><?xml version="1.0" encoding="utf-8"?>
<sst xmlns="http://schemas.openxmlformats.org/spreadsheetml/2006/main" count="544" uniqueCount="91">
  <si>
    <t>모집단위</t>
  </si>
  <si>
    <t>지원 및 합격 현황</t>
    <phoneticPr fontId="2" type="noConversion"/>
  </si>
  <si>
    <t>최저기준통과</t>
    <phoneticPr fontId="2" type="noConversion"/>
  </si>
  <si>
    <t>입학자
학생부 등급</t>
    <phoneticPr fontId="2" type="noConversion"/>
  </si>
  <si>
    <t>모집
인원</t>
    <phoneticPr fontId="2" type="noConversion"/>
  </si>
  <si>
    <t>지원
인원</t>
    <phoneticPr fontId="2" type="noConversion"/>
  </si>
  <si>
    <t>경쟁률</t>
    <phoneticPr fontId="2" type="noConversion"/>
  </si>
  <si>
    <t>추합
최종
번호</t>
    <phoneticPr fontId="2" type="noConversion"/>
  </si>
  <si>
    <t>실질
경쟁률</t>
    <phoneticPr fontId="2" type="noConversion"/>
  </si>
  <si>
    <t>평균</t>
    <phoneticPr fontId="2" type="noConversion"/>
  </si>
  <si>
    <t>입학자
환산총점</t>
    <phoneticPr fontId="2" type="noConversion"/>
  </si>
  <si>
    <t>전형명</t>
    <phoneticPr fontId="2" type="noConversion"/>
  </si>
  <si>
    <t>기계공학과</t>
    <phoneticPr fontId="2" type="noConversion"/>
  </si>
  <si>
    <t>기계설계공학과</t>
    <phoneticPr fontId="2" type="noConversion"/>
  </si>
  <si>
    <t>건축학부</t>
    <phoneticPr fontId="2" type="noConversion"/>
  </si>
  <si>
    <t>신소재공학부</t>
    <phoneticPr fontId="2" type="noConversion"/>
  </si>
  <si>
    <t>토목공학과</t>
    <phoneticPr fontId="2" type="noConversion"/>
  </si>
  <si>
    <t>컴퓨터공학과</t>
    <phoneticPr fontId="2" type="noConversion"/>
  </si>
  <si>
    <t>컴퓨터소프트웨어공학과</t>
    <phoneticPr fontId="2" type="noConversion"/>
  </si>
  <si>
    <t>환경공학과</t>
    <phoneticPr fontId="2" type="noConversion"/>
  </si>
  <si>
    <t>화학생명과학과</t>
    <phoneticPr fontId="2" type="noConversion"/>
  </si>
  <si>
    <t>수리빅데이터학과</t>
    <phoneticPr fontId="2" type="noConversion"/>
  </si>
  <si>
    <t>일반학생</t>
    <phoneticPr fontId="2" type="noConversion"/>
  </si>
  <si>
    <t>KIT인재</t>
    <phoneticPr fontId="2" type="noConversion"/>
  </si>
  <si>
    <t>수능반영유형</t>
  </si>
  <si>
    <t>만점</t>
  </si>
  <si>
    <t>평균</t>
  </si>
  <si>
    <t>표준
편차</t>
  </si>
  <si>
    <t>표준
편차</t>
    <phoneticPr fontId="2" type="noConversion"/>
  </si>
  <si>
    <t>정시모집 일반학생전형</t>
    <phoneticPr fontId="2" type="noConversion"/>
  </si>
  <si>
    <t>수시모집 학생부교과전형</t>
    <phoneticPr fontId="2" type="noConversion"/>
  </si>
  <si>
    <t>수시모집 학생부종합전형</t>
    <phoneticPr fontId="2" type="noConversion"/>
  </si>
  <si>
    <t>등록
인원</t>
    <phoneticPr fontId="2" type="noConversion"/>
  </si>
  <si>
    <t>2023학년도</t>
    <phoneticPr fontId="2" type="noConversion"/>
  </si>
  <si>
    <t>2023학년도 인원 현황</t>
    <phoneticPr fontId="2" type="noConversion"/>
  </si>
  <si>
    <t>고분자공학과</t>
  </si>
  <si>
    <t>고분자공학과</t>
    <phoneticPr fontId="2" type="noConversion"/>
  </si>
  <si>
    <t>소재디자인공학과</t>
  </si>
  <si>
    <t>소재디자인공학과</t>
    <phoneticPr fontId="2" type="noConversion"/>
  </si>
  <si>
    <t>화학공학과</t>
  </si>
  <si>
    <t>화학공학과</t>
    <phoneticPr fontId="2" type="noConversion"/>
  </si>
  <si>
    <t>충족
인원</t>
    <phoneticPr fontId="2" type="noConversion"/>
  </si>
  <si>
    <t>충족
인원 중
후보자
합격
비율</t>
    <phoneticPr fontId="2" type="noConversion"/>
  </si>
  <si>
    <t>충족자없음</t>
    <phoneticPr fontId="2" type="noConversion"/>
  </si>
  <si>
    <t>충족
인원
평균
성적</t>
    <phoneticPr fontId="2" type="noConversion"/>
  </si>
  <si>
    <t>등록자없음</t>
    <phoneticPr fontId="2" type="noConversion"/>
  </si>
  <si>
    <t>입학자 환산 총점(3과목)</t>
    <phoneticPr fontId="2" type="noConversion"/>
  </si>
  <si>
    <t>2024학년도</t>
    <phoneticPr fontId="2" type="noConversion"/>
  </si>
  <si>
    <t>기계시스템공학부</t>
    <phoneticPr fontId="2" type="noConversion"/>
  </si>
  <si>
    <t>등록자없음</t>
  </si>
  <si>
    <t>산업공학과</t>
    <phoneticPr fontId="2" type="noConversion"/>
  </si>
  <si>
    <t>후보없음</t>
    <phoneticPr fontId="2" type="noConversion"/>
  </si>
  <si>
    <t>2024학년도 인원 현황</t>
    <phoneticPr fontId="2" type="noConversion"/>
  </si>
  <si>
    <t>2025학년도</t>
    <phoneticPr fontId="2" type="noConversion"/>
  </si>
  <si>
    <t>건축토목환경공학부</t>
    <phoneticPr fontId="2" type="noConversion"/>
  </si>
  <si>
    <t>기계공학부</t>
    <phoneticPr fontId="2" type="noConversion"/>
  </si>
  <si>
    <t>기계공학부스마트모빌리티전공</t>
    <phoneticPr fontId="2" type="noConversion"/>
  </si>
  <si>
    <t>산업·빅데이터공학부</t>
    <phoneticPr fontId="2" type="noConversion"/>
  </si>
  <si>
    <t>재료공학부</t>
    <phoneticPr fontId="2" type="noConversion"/>
  </si>
  <si>
    <t>전자공학부</t>
    <phoneticPr fontId="2" type="noConversion"/>
  </si>
  <si>
    <t>컴퓨터공학부</t>
    <phoneticPr fontId="2" type="noConversion"/>
  </si>
  <si>
    <t>컴퓨터공학부인공지능공학전공</t>
    <phoneticPr fontId="2" type="noConversion"/>
  </si>
  <si>
    <t>화학소재공학부</t>
    <phoneticPr fontId="2" type="noConversion"/>
  </si>
  <si>
    <t>광시스템공학과</t>
    <phoneticPr fontId="2" type="noConversion"/>
  </si>
  <si>
    <t>바이오메디컬공학과</t>
    <phoneticPr fontId="2" type="noConversion"/>
  </si>
  <si>
    <t>경영학과</t>
    <phoneticPr fontId="2" type="noConversion"/>
  </si>
  <si>
    <t>자율전공학부</t>
    <phoneticPr fontId="2" type="noConversion"/>
  </si>
  <si>
    <t>전체</t>
    <phoneticPr fontId="2" type="noConversion"/>
  </si>
  <si>
    <t>학생부교과</t>
    <phoneticPr fontId="2" type="noConversion"/>
  </si>
  <si>
    <t>지역인재</t>
    <phoneticPr fontId="2" type="noConversion"/>
  </si>
  <si>
    <t>후보없음</t>
    <phoneticPr fontId="2" type="noConversion"/>
  </si>
  <si>
    <t>고른기회</t>
    <phoneticPr fontId="2" type="noConversion"/>
  </si>
  <si>
    <t>농어촌학생</t>
    <phoneticPr fontId="2" type="noConversion"/>
  </si>
  <si>
    <t>특성과교출신자</t>
    <phoneticPr fontId="2" type="noConversion"/>
  </si>
  <si>
    <t>등록자없음</t>
    <phoneticPr fontId="2" type="noConversion"/>
  </si>
  <si>
    <t>2025
모집군</t>
    <phoneticPr fontId="2" type="noConversion"/>
  </si>
  <si>
    <t>상위3</t>
    <phoneticPr fontId="2" type="noConversion"/>
  </si>
  <si>
    <t>2025학년도 인원 현황</t>
    <phoneticPr fontId="2" type="noConversion"/>
  </si>
  <si>
    <t>입학자 백분위 평균(3과목)</t>
    <phoneticPr fontId="2" type="noConversion"/>
  </si>
  <si>
    <t>나</t>
    <phoneticPr fontId="2" type="noConversion"/>
  </si>
  <si>
    <t>가</t>
    <phoneticPr fontId="2" type="noConversion"/>
  </si>
  <si>
    <t>다</t>
    <phoneticPr fontId="2" type="noConversion"/>
  </si>
  <si>
    <t>※ 2025학년도 입학자 학생부등급은 반영교과의 전과목을 반영하였음</t>
    <phoneticPr fontId="2" type="noConversion"/>
  </si>
  <si>
    <t>※ 학생부종합전형의 학생부등급은 학생부교과전형과 동일한 방법으로 산출하였음</t>
    <phoneticPr fontId="2" type="noConversion"/>
  </si>
  <si>
    <t>※ 2026학년도 학생부성적반영방법: 공통/일반선택과목은 반영교과별 상위 3과목, 진로선택과목은 국어/수학/영어/과학/사회 중 상위 3과목 반영(2025학년도 입시결과와 차이 발생 가능)</t>
    <phoneticPr fontId="2" type="noConversion"/>
  </si>
  <si>
    <t>입학자 등급(상위3과목)</t>
    <phoneticPr fontId="2" type="noConversion"/>
  </si>
  <si>
    <t>입학자 환산 총점(상위3과목)</t>
    <phoneticPr fontId="2" type="noConversion"/>
  </si>
  <si>
    <t>입학자 등급(상위3과목)</t>
  </si>
  <si>
    <t>※ 수능등급: 국어, 영어, 수학, 탐구(상위 1과목) 중 상위 3개 영역의 등급평균</t>
    <phoneticPr fontId="2" type="noConversion"/>
  </si>
  <si>
    <t>※ 백분위 평균: 국어, 수학, 탐구(상위 1과목)영역 백분위의 평균</t>
    <phoneticPr fontId="2" type="noConversion"/>
  </si>
  <si>
    <t>※ 2025학년도의 모집인원은 2025. 2월 기준으로 등록금 납부 후 수시모집 이월인원을 모두 포함한 인원이며 경쟁률은 2024. 12월 기준으로 수시모집 합격등록 마감 후 이월인원 포함 기준으로 산출된 것임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</si>
</sst>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 x14ac:knownFonts="1">
    <font>
      <sz val="11"/>
      <color theme="1"/>
      <name val="맑은 고딕"/>
      <family val="2"/>
      <charset val="129"/>
      <scheme val="minor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33">
    <xf numFmtId="0" fontId="0" fillId="0" borderId="0" xfId="0">
      <alignment vertical="center"/>
    </xf>
    <xf numFmtId="0" fontId="3" fillId="2" borderId="4" xfId="1" applyFont="1" applyFill="1" applyBorder="1" applyAlignment="1">
      <alignment horizontal="center" vertical="center" wrapText="1"/>
    </xf>
    <xf numFmtId="9" fontId="3" fillId="2" borderId="4" xfId="1" applyNumberFormat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9" fontId="3" fillId="2" borderId="5" xfId="1" applyNumberFormat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9" fontId="3" fillId="2" borderId="4" xfId="1" applyNumberFormat="1" applyFont="1" applyFill="1" applyBorder="1" applyAlignment="1">
      <alignment horizontal="center" vertical="center"/>
    </xf>
    <xf numFmtId="9" fontId="3" fillId="2" borderId="5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15" xfId="0" applyFont="1" applyBorder="1">
      <alignment vertical="center"/>
    </xf>
    <xf numFmtId="0" fontId="7" fillId="0" borderId="4" xfId="0" applyFont="1" applyBorder="1">
      <alignment vertical="center"/>
    </xf>
    <xf numFmtId="2" fontId="7" fillId="0" borderId="4" xfId="0" applyNumberFormat="1" applyFont="1" applyBorder="1">
      <alignment vertical="center"/>
    </xf>
    <xf numFmtId="2" fontId="7" fillId="0" borderId="5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2" borderId="15" xfId="0" applyFont="1" applyFill="1" applyBorder="1">
      <alignment vertical="center"/>
    </xf>
    <xf numFmtId="0" fontId="7" fillId="2" borderId="4" xfId="0" applyFont="1" applyFill="1" applyBorder="1">
      <alignment vertical="center"/>
    </xf>
    <xf numFmtId="2" fontId="7" fillId="2" borderId="4" xfId="0" applyNumberFormat="1" applyFont="1" applyFill="1" applyBorder="1">
      <alignment vertical="center"/>
    </xf>
    <xf numFmtId="2" fontId="7" fillId="2" borderId="5" xfId="0" applyNumberFormat="1" applyFont="1" applyFill="1" applyBorder="1">
      <alignment vertical="center"/>
    </xf>
    <xf numFmtId="0" fontId="7" fillId="0" borderId="9" xfId="0" applyFont="1" applyBorder="1">
      <alignment vertical="center"/>
    </xf>
    <xf numFmtId="0" fontId="7" fillId="0" borderId="7" xfId="0" applyFont="1" applyBorder="1">
      <alignment vertical="center"/>
    </xf>
    <xf numFmtId="2" fontId="7" fillId="0" borderId="7" xfId="0" applyNumberFormat="1" applyFont="1" applyBorder="1">
      <alignment vertical="center"/>
    </xf>
    <xf numFmtId="0" fontId="7" fillId="0" borderId="16" xfId="0" applyFont="1" applyBorder="1">
      <alignment vertical="center"/>
    </xf>
    <xf numFmtId="0" fontId="7" fillId="0" borderId="17" xfId="0" applyFont="1" applyBorder="1">
      <alignment vertical="center"/>
    </xf>
    <xf numFmtId="2" fontId="7" fillId="0" borderId="17" xfId="0" applyNumberFormat="1" applyFont="1" applyBorder="1">
      <alignment vertical="center"/>
    </xf>
    <xf numFmtId="0" fontId="7" fillId="2" borderId="17" xfId="0" applyFont="1" applyFill="1" applyBorder="1">
      <alignment vertical="center"/>
    </xf>
    <xf numFmtId="0" fontId="7" fillId="0" borderId="4" xfId="0" applyFont="1" applyFill="1" applyBorder="1">
      <alignment vertical="center"/>
    </xf>
    <xf numFmtId="2" fontId="7" fillId="0" borderId="4" xfId="0" applyNumberFormat="1" applyFont="1" applyFill="1" applyBorder="1">
      <alignment vertical="center"/>
    </xf>
    <xf numFmtId="0" fontId="7" fillId="2" borderId="7" xfId="0" applyFont="1" applyFill="1" applyBorder="1">
      <alignment vertical="center"/>
    </xf>
    <xf numFmtId="2" fontId="7" fillId="2" borderId="7" xfId="0" applyNumberFormat="1" applyFont="1" applyFill="1" applyBorder="1">
      <alignment vertical="center"/>
    </xf>
    <xf numFmtId="2" fontId="7" fillId="2" borderId="8" xfId="0" applyNumberFormat="1" applyFont="1" applyFill="1" applyBorder="1">
      <alignment vertical="center"/>
    </xf>
    <xf numFmtId="2" fontId="7" fillId="0" borderId="7" xfId="0" applyNumberFormat="1" applyFont="1" applyFill="1" applyBorder="1">
      <alignment vertical="center"/>
    </xf>
    <xf numFmtId="0" fontId="7" fillId="0" borderId="7" xfId="0" applyFont="1" applyFill="1" applyBorder="1">
      <alignment vertical="center"/>
    </xf>
    <xf numFmtId="0" fontId="7" fillId="0" borderId="10" xfId="0" applyFont="1" applyBorder="1">
      <alignment vertical="center"/>
    </xf>
    <xf numFmtId="0" fontId="0" fillId="0" borderId="27" xfId="0" applyBorder="1">
      <alignment vertical="center"/>
    </xf>
    <xf numFmtId="0" fontId="7" fillId="0" borderId="9" xfId="0" applyFont="1" applyFill="1" applyBorder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7" fillId="0" borderId="4" xfId="0" applyNumberFormat="1" applyFont="1" applyBorder="1">
      <alignment vertical="center"/>
    </xf>
    <xf numFmtId="176" fontId="7" fillId="2" borderId="4" xfId="0" applyNumberFormat="1" applyFont="1" applyFill="1" applyBorder="1">
      <alignment vertical="center"/>
    </xf>
    <xf numFmtId="176" fontId="7" fillId="0" borderId="7" xfId="0" applyNumberFormat="1" applyFont="1" applyBorder="1">
      <alignment vertical="center"/>
    </xf>
    <xf numFmtId="0" fontId="7" fillId="2" borderId="5" xfId="0" applyFont="1" applyFill="1" applyBorder="1">
      <alignment vertical="center"/>
    </xf>
    <xf numFmtId="0" fontId="7" fillId="2" borderId="8" xfId="0" applyFont="1" applyFill="1" applyBorder="1">
      <alignment vertical="center"/>
    </xf>
    <xf numFmtId="2" fontId="7" fillId="0" borderId="18" xfId="0" applyNumberFormat="1" applyFont="1" applyBorder="1">
      <alignment vertical="center"/>
    </xf>
    <xf numFmtId="176" fontId="7" fillId="0" borderId="17" xfId="0" applyNumberFormat="1" applyFont="1" applyBorder="1">
      <alignment vertical="center"/>
    </xf>
    <xf numFmtId="176" fontId="7" fillId="0" borderId="4" xfId="0" applyNumberFormat="1" applyFont="1" applyBorder="1" applyAlignment="1">
      <alignment horizontal="center" vertical="center" shrinkToFit="1"/>
    </xf>
    <xf numFmtId="2" fontId="7" fillId="0" borderId="4" xfId="0" applyNumberFormat="1" applyFont="1" applyBorder="1" applyAlignment="1">
      <alignment horizontal="center" vertical="center" shrinkToFit="1"/>
    </xf>
    <xf numFmtId="2" fontId="7" fillId="2" borderId="4" xfId="0" applyNumberFormat="1" applyFont="1" applyFill="1" applyBorder="1" applyAlignment="1">
      <alignment horizontal="center" vertical="center" shrinkToFit="1"/>
    </xf>
    <xf numFmtId="0" fontId="7" fillId="0" borderId="15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2" fontId="7" fillId="0" borderId="4" xfId="0" applyNumberFormat="1" applyFont="1" applyBorder="1" applyAlignment="1">
      <alignment horizontal="right" vertical="center"/>
    </xf>
    <xf numFmtId="0" fontId="7" fillId="2" borderId="15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2" fontId="7" fillId="2" borderId="4" xfId="0" applyNumberFormat="1" applyFont="1" applyFill="1" applyBorder="1" applyAlignment="1">
      <alignment horizontal="right" vertical="center"/>
    </xf>
    <xf numFmtId="2" fontId="7" fillId="0" borderId="7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2" borderId="4" xfId="1" applyFont="1" applyFill="1" applyBorder="1" applyAlignment="1">
      <alignment horizontal="center" vertical="center"/>
    </xf>
    <xf numFmtId="0" fontId="7" fillId="0" borderId="15" xfId="0" applyFont="1" applyFill="1" applyBorder="1">
      <alignment vertical="center"/>
    </xf>
    <xf numFmtId="2" fontId="7" fillId="0" borderId="4" xfId="0" applyNumberFormat="1" applyFont="1" applyBorder="1" applyAlignment="1">
      <alignment horizontal="right" vertical="center" shrinkToFit="1"/>
    </xf>
    <xf numFmtId="2" fontId="7" fillId="0" borderId="7" xfId="0" applyNumberFormat="1" applyFont="1" applyBorder="1" applyAlignment="1">
      <alignment horizontal="right" vertical="center"/>
    </xf>
    <xf numFmtId="2" fontId="7" fillId="0" borderId="4" xfId="0" applyNumberFormat="1" applyFont="1" applyBorder="1" applyAlignment="1">
      <alignment vertical="center" shrinkToFit="1"/>
    </xf>
    <xf numFmtId="2" fontId="7" fillId="0" borderId="17" xfId="0" applyNumberFormat="1" applyFont="1" applyBorder="1" applyAlignment="1">
      <alignment horizontal="right" vertical="center"/>
    </xf>
    <xf numFmtId="2" fontId="7" fillId="2" borderId="4" xfId="0" applyNumberFormat="1" applyFont="1" applyFill="1" applyBorder="1" applyAlignment="1">
      <alignment horizontal="right" vertical="center" shrinkToFit="1"/>
    </xf>
    <xf numFmtId="2" fontId="7" fillId="0" borderId="4" xfId="0" applyNumberFormat="1" applyFont="1" applyFill="1" applyBorder="1" applyAlignment="1">
      <alignment horizontal="right" vertical="center"/>
    </xf>
    <xf numFmtId="176" fontId="7" fillId="0" borderId="4" xfId="0" applyNumberFormat="1" applyFont="1" applyBorder="1" applyAlignment="1">
      <alignment horizontal="right" vertical="center" shrinkToFit="1"/>
    </xf>
    <xf numFmtId="0" fontId="5" fillId="0" borderId="4" xfId="0" applyFont="1" applyBorder="1">
      <alignment vertical="center"/>
    </xf>
    <xf numFmtId="0" fontId="5" fillId="2" borderId="4" xfId="0" applyFont="1" applyFill="1" applyBorder="1">
      <alignment vertical="center"/>
    </xf>
    <xf numFmtId="2" fontId="5" fillId="0" borderId="4" xfId="0" applyNumberFormat="1" applyFont="1" applyBorder="1">
      <alignment vertical="center"/>
    </xf>
    <xf numFmtId="2" fontId="5" fillId="2" borderId="4" xfId="0" applyNumberFormat="1" applyFont="1" applyFill="1" applyBorder="1">
      <alignment vertical="center"/>
    </xf>
    <xf numFmtId="2" fontId="5" fillId="2" borderId="5" xfId="0" applyNumberFormat="1" applyFont="1" applyFill="1" applyBorder="1">
      <alignment vertical="center"/>
    </xf>
    <xf numFmtId="2" fontId="5" fillId="0" borderId="5" xfId="0" applyNumberFormat="1" applyFont="1" applyBorder="1">
      <alignment vertical="center"/>
    </xf>
    <xf numFmtId="2" fontId="5" fillId="2" borderId="8" xfId="0" applyNumberFormat="1" applyFont="1" applyFill="1" applyBorder="1">
      <alignment vertical="center"/>
    </xf>
    <xf numFmtId="176" fontId="7" fillId="0" borderId="4" xfId="0" applyNumberFormat="1" applyFont="1" applyBorder="1" applyAlignment="1">
      <alignment horizontal="right" vertical="center"/>
    </xf>
    <xf numFmtId="176" fontId="7" fillId="2" borderId="4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2" borderId="4" xfId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9" fillId="0" borderId="12" xfId="1" applyFont="1" applyFill="1" applyBorder="1" applyAlignment="1">
      <alignment horizontal="center" vertical="center"/>
    </xf>
    <xf numFmtId="0" fontId="9" fillId="0" borderId="15" xfId="1" applyFont="1" applyFill="1" applyBorder="1" applyAlignment="1">
      <alignment horizontal="center" vertical="center" wrapText="1"/>
    </xf>
    <xf numFmtId="0" fontId="9" fillId="0" borderId="4" xfId="1" applyFont="1" applyFill="1" applyBorder="1" applyAlignment="1">
      <alignment horizontal="center" vertical="center" wrapText="1"/>
    </xf>
    <xf numFmtId="2" fontId="9" fillId="0" borderId="4" xfId="1" applyNumberFormat="1" applyFont="1" applyFill="1" applyBorder="1" applyAlignment="1">
      <alignment horizontal="center" vertical="center"/>
    </xf>
    <xf numFmtId="2" fontId="9" fillId="0" borderId="4" xfId="1" applyNumberFormat="1" applyFont="1" applyFill="1" applyBorder="1" applyAlignment="1">
      <alignment horizontal="center" vertical="center" wrapText="1"/>
    </xf>
    <xf numFmtId="176" fontId="9" fillId="0" borderId="4" xfId="1" applyNumberFormat="1" applyFont="1" applyFill="1" applyBorder="1" applyAlignment="1">
      <alignment horizontal="center" vertical="center" wrapText="1"/>
    </xf>
    <xf numFmtId="2" fontId="9" fillId="0" borderId="5" xfId="1" applyNumberFormat="1" applyFont="1" applyFill="1" applyBorder="1" applyAlignment="1">
      <alignment horizontal="center" vertical="center"/>
    </xf>
    <xf numFmtId="2" fontId="9" fillId="2" borderId="4" xfId="1" applyNumberFormat="1" applyFont="1" applyFill="1" applyBorder="1" applyAlignment="1">
      <alignment horizontal="center" vertical="center"/>
    </xf>
    <xf numFmtId="2" fontId="9" fillId="2" borderId="5" xfId="1" applyNumberFormat="1" applyFont="1" applyFill="1" applyBorder="1" applyAlignment="1">
      <alignment horizontal="center" vertical="center"/>
    </xf>
    <xf numFmtId="2" fontId="7" fillId="0" borderId="4" xfId="0" applyNumberFormat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 wrapText="1"/>
    </xf>
    <xf numFmtId="2" fontId="9" fillId="2" borderId="4" xfId="1" applyNumberFormat="1" applyFont="1" applyFill="1" applyBorder="1" applyAlignment="1">
      <alignment horizontal="center" vertical="center" wrapText="1"/>
    </xf>
    <xf numFmtId="176" fontId="9" fillId="2" borderId="4" xfId="1" applyNumberFormat="1" applyFont="1" applyFill="1" applyBorder="1" applyAlignment="1">
      <alignment horizontal="center" vertical="center" wrapText="1"/>
    </xf>
    <xf numFmtId="0" fontId="9" fillId="0" borderId="4" xfId="1" applyFont="1" applyFill="1" applyBorder="1" applyAlignment="1">
      <alignment horizontal="center" vertical="center" shrinkToFit="1"/>
    </xf>
    <xf numFmtId="176" fontId="9" fillId="0" borderId="4" xfId="1" applyNumberFormat="1" applyFont="1" applyFill="1" applyBorder="1" applyAlignment="1">
      <alignment horizontal="center" vertical="center" shrinkToFit="1"/>
    </xf>
    <xf numFmtId="2" fontId="9" fillId="0" borderId="4" xfId="1" applyNumberFormat="1" applyFont="1" applyFill="1" applyBorder="1" applyAlignment="1">
      <alignment horizontal="center" vertical="center" shrinkToFit="1"/>
    </xf>
    <xf numFmtId="0" fontId="10" fillId="2" borderId="15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/>
    </xf>
    <xf numFmtId="9" fontId="10" fillId="2" borderId="4" xfId="1" applyNumberFormat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 wrapText="1"/>
    </xf>
    <xf numFmtId="9" fontId="10" fillId="2" borderId="5" xfId="1" applyNumberFormat="1" applyFont="1" applyFill="1" applyBorder="1" applyAlignment="1">
      <alignment horizontal="center" vertical="center"/>
    </xf>
    <xf numFmtId="0" fontId="9" fillId="0" borderId="12" xfId="1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9" fillId="0" borderId="12" xfId="1" applyFont="1" applyFill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9" fillId="0" borderId="22" xfId="1" applyFont="1" applyFill="1" applyBorder="1" applyAlignment="1">
      <alignment horizontal="left" vertical="center"/>
    </xf>
    <xf numFmtId="0" fontId="9" fillId="0" borderId="20" xfId="1" applyFont="1" applyFill="1" applyBorder="1" applyAlignment="1">
      <alignment horizontal="center" vertical="center" wrapText="1"/>
    </xf>
    <xf numFmtId="2" fontId="9" fillId="0" borderId="20" xfId="1" applyNumberFormat="1" applyFont="1" applyFill="1" applyBorder="1" applyAlignment="1">
      <alignment horizontal="center" vertical="center"/>
    </xf>
    <xf numFmtId="2" fontId="9" fillId="0" borderId="20" xfId="1" applyNumberFormat="1" applyFont="1" applyFill="1" applyBorder="1" applyAlignment="1">
      <alignment horizontal="center" vertical="center" wrapText="1"/>
    </xf>
    <xf numFmtId="2" fontId="9" fillId="2" borderId="20" xfId="1" applyNumberFormat="1" applyFont="1" applyFill="1" applyBorder="1" applyAlignment="1">
      <alignment horizontal="center" vertical="center"/>
    </xf>
    <xf numFmtId="2" fontId="9" fillId="2" borderId="21" xfId="1" applyNumberFormat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left" vertical="center"/>
    </xf>
    <xf numFmtId="0" fontId="9" fillId="0" borderId="1" xfId="1" applyFont="1" applyFill="1" applyBorder="1" applyAlignment="1">
      <alignment horizontal="center" vertical="center" wrapText="1"/>
    </xf>
    <xf numFmtId="2" fontId="9" fillId="0" borderId="1" xfId="1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2" fontId="9" fillId="2" borderId="1" xfId="1" applyNumberFormat="1" applyFont="1" applyFill="1" applyBorder="1" applyAlignment="1">
      <alignment horizontal="center" vertical="center" wrapText="1"/>
    </xf>
    <xf numFmtId="176" fontId="9" fillId="2" borderId="1" xfId="1" applyNumberFormat="1" applyFont="1" applyFill="1" applyBorder="1" applyAlignment="1">
      <alignment horizontal="center" vertical="center" wrapText="1"/>
    </xf>
    <xf numFmtId="2" fontId="9" fillId="0" borderId="1" xfId="1" applyNumberFormat="1" applyFont="1" applyFill="1" applyBorder="1" applyAlignment="1">
      <alignment horizontal="center" vertical="center" wrapText="1"/>
    </xf>
    <xf numFmtId="2" fontId="9" fillId="2" borderId="1" xfId="1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2" fontId="9" fillId="2" borderId="2" xfId="1" applyNumberFormat="1" applyFont="1" applyFill="1" applyBorder="1" applyAlignment="1">
      <alignment horizontal="center" vertical="center"/>
    </xf>
    <xf numFmtId="0" fontId="9" fillId="0" borderId="13" xfId="1" applyFont="1" applyFill="1" applyBorder="1" applyAlignment="1">
      <alignment horizontal="left" vertical="center"/>
    </xf>
    <xf numFmtId="0" fontId="9" fillId="0" borderId="7" xfId="1" applyFont="1" applyFill="1" applyBorder="1" applyAlignment="1">
      <alignment horizontal="center" vertical="center" wrapText="1"/>
    </xf>
    <xf numFmtId="2" fontId="9" fillId="0" borderId="7" xfId="1" applyNumberFormat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 wrapText="1"/>
    </xf>
    <xf numFmtId="2" fontId="9" fillId="2" borderId="7" xfId="1" applyNumberFormat="1" applyFont="1" applyFill="1" applyBorder="1" applyAlignment="1">
      <alignment horizontal="center" vertical="center" wrapText="1"/>
    </xf>
    <xf numFmtId="176" fontId="9" fillId="2" borderId="7" xfId="1" applyNumberFormat="1" applyFont="1" applyFill="1" applyBorder="1" applyAlignment="1">
      <alignment horizontal="center" vertical="center" wrapText="1"/>
    </xf>
    <xf numFmtId="2" fontId="9" fillId="0" borderId="7" xfId="1" applyNumberFormat="1" applyFont="1" applyFill="1" applyBorder="1" applyAlignment="1">
      <alignment horizontal="center" vertical="center" wrapText="1"/>
    </xf>
    <xf numFmtId="2" fontId="9" fillId="2" borderId="7" xfId="1" applyNumberFormat="1" applyFont="1" applyFill="1" applyBorder="1" applyAlignment="1">
      <alignment horizontal="center" vertical="center"/>
    </xf>
    <xf numFmtId="2" fontId="7" fillId="0" borderId="7" xfId="0" applyNumberFormat="1" applyFont="1" applyFill="1" applyBorder="1" applyAlignment="1">
      <alignment horizontal="center" vertical="center"/>
    </xf>
    <xf numFmtId="2" fontId="9" fillId="2" borderId="8" xfId="1" applyNumberFormat="1" applyFont="1" applyFill="1" applyBorder="1" applyAlignment="1">
      <alignment horizontal="center" vertical="center"/>
    </xf>
    <xf numFmtId="176" fontId="9" fillId="0" borderId="20" xfId="1" applyNumberFormat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vertical="center"/>
    </xf>
    <xf numFmtId="176" fontId="9" fillId="0" borderId="1" xfId="1" applyNumberFormat="1" applyFont="1" applyFill="1" applyBorder="1" applyAlignment="1">
      <alignment horizontal="center" vertical="center" wrapText="1"/>
    </xf>
    <xf numFmtId="2" fontId="9" fillId="0" borderId="2" xfId="1" applyNumberFormat="1" applyFont="1" applyFill="1" applyBorder="1" applyAlignment="1">
      <alignment horizontal="center" vertical="center"/>
    </xf>
    <xf numFmtId="0" fontId="9" fillId="0" borderId="13" xfId="1" applyFont="1" applyFill="1" applyBorder="1" applyAlignment="1">
      <alignment vertical="center"/>
    </xf>
    <xf numFmtId="176" fontId="9" fillId="0" borderId="7" xfId="1" applyNumberFormat="1" applyFont="1" applyFill="1" applyBorder="1" applyAlignment="1">
      <alignment horizontal="center" vertical="center" wrapText="1"/>
    </xf>
    <xf numFmtId="0" fontId="9" fillId="0" borderId="19" xfId="1" applyFont="1" applyFill="1" applyBorder="1" applyAlignment="1">
      <alignment horizontal="center" vertical="center" wrapText="1"/>
    </xf>
    <xf numFmtId="0" fontId="9" fillId="0" borderId="14" xfId="1" applyFont="1" applyFill="1" applyBorder="1" applyAlignment="1">
      <alignment horizontal="center" vertical="center" wrapText="1"/>
    </xf>
    <xf numFmtId="0" fontId="9" fillId="0" borderId="9" xfId="1" applyFont="1" applyFill="1" applyBorder="1" applyAlignment="1">
      <alignment horizontal="center" vertical="center" wrapText="1"/>
    </xf>
    <xf numFmtId="2" fontId="7" fillId="2" borderId="5" xfId="0" applyNumberFormat="1" applyFont="1" applyFill="1" applyBorder="1" applyAlignment="1">
      <alignment horizontal="center" vertical="center" shrinkToFit="1"/>
    </xf>
    <xf numFmtId="0" fontId="7" fillId="2" borderId="18" xfId="0" applyFont="1" applyFill="1" applyBorder="1">
      <alignment vertical="center"/>
    </xf>
    <xf numFmtId="0" fontId="10" fillId="0" borderId="7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2" fontId="5" fillId="0" borderId="7" xfId="0" applyNumberFormat="1" applyFont="1" applyBorder="1">
      <alignment vertical="center"/>
    </xf>
    <xf numFmtId="9" fontId="3" fillId="2" borderId="12" xfId="1" applyNumberFormat="1" applyFont="1" applyFill="1" applyBorder="1" applyAlignment="1">
      <alignment horizontal="center" vertical="center"/>
    </xf>
    <xf numFmtId="9" fontId="10" fillId="2" borderId="4" xfId="1" applyNumberFormat="1" applyFont="1" applyFill="1" applyBorder="1" applyAlignment="1">
      <alignment horizontal="center" vertical="center" wrapText="1"/>
    </xf>
    <xf numFmtId="0" fontId="11" fillId="0" borderId="0" xfId="0" applyFont="1" applyFill="1">
      <alignment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9" fillId="0" borderId="7" xfId="1" applyFont="1" applyFill="1" applyBorder="1" applyAlignment="1">
      <alignment horizontal="left" vertical="center"/>
    </xf>
    <xf numFmtId="0" fontId="9" fillId="0" borderId="7" xfId="1" applyFont="1" applyFill="1" applyBorder="1" applyAlignment="1">
      <alignment horizontal="center" vertical="center"/>
    </xf>
    <xf numFmtId="9" fontId="10" fillId="2" borderId="5" xfId="1" applyNumberFormat="1" applyFont="1" applyFill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right" vertical="center"/>
    </xf>
    <xf numFmtId="2" fontId="7" fillId="2" borderId="5" xfId="0" applyNumberFormat="1" applyFont="1" applyFill="1" applyBorder="1" applyAlignment="1">
      <alignment horizontal="right" vertical="center"/>
    </xf>
    <xf numFmtId="0" fontId="10" fillId="0" borderId="9" xfId="1" applyFont="1" applyFill="1" applyBorder="1" applyAlignment="1">
      <alignment horizontal="center" vertical="center" wrapText="1"/>
    </xf>
    <xf numFmtId="9" fontId="10" fillId="2" borderId="7" xfId="1" applyNumberFormat="1" applyFont="1" applyFill="1" applyBorder="1" applyAlignment="1">
      <alignment horizontal="center" vertical="center" wrapText="1"/>
    </xf>
    <xf numFmtId="9" fontId="10" fillId="2" borderId="8" xfId="1" applyNumberFormat="1" applyFont="1" applyFill="1" applyBorder="1" applyAlignment="1">
      <alignment horizontal="center" vertical="center" wrapText="1"/>
    </xf>
    <xf numFmtId="0" fontId="9" fillId="0" borderId="13" xfId="1" applyFont="1" applyFill="1" applyBorder="1" applyAlignment="1">
      <alignment horizontal="center" vertical="center"/>
    </xf>
    <xf numFmtId="0" fontId="9" fillId="0" borderId="15" xfId="1" applyFont="1" applyFill="1" applyBorder="1" applyAlignment="1">
      <alignment horizontal="right" vertical="center"/>
    </xf>
    <xf numFmtId="0" fontId="9" fillId="0" borderId="4" xfId="1" applyFont="1" applyFill="1" applyBorder="1" applyAlignment="1">
      <alignment horizontal="right" vertical="center"/>
    </xf>
    <xf numFmtId="2" fontId="9" fillId="0" borderId="4" xfId="1" applyNumberFormat="1" applyFont="1" applyFill="1" applyBorder="1" applyAlignment="1">
      <alignment horizontal="right" vertical="center"/>
    </xf>
    <xf numFmtId="176" fontId="9" fillId="0" borderId="4" xfId="1" applyNumberFormat="1" applyFont="1" applyFill="1" applyBorder="1" applyAlignment="1">
      <alignment horizontal="right" vertical="center"/>
    </xf>
    <xf numFmtId="1" fontId="9" fillId="0" borderId="4" xfId="1" applyNumberFormat="1" applyFont="1" applyFill="1" applyBorder="1" applyAlignment="1">
      <alignment horizontal="right" vertical="center"/>
    </xf>
    <xf numFmtId="2" fontId="9" fillId="0" borderId="5" xfId="1" applyNumberFormat="1" applyFont="1" applyFill="1" applyBorder="1" applyAlignment="1">
      <alignment horizontal="right" vertical="center"/>
    </xf>
    <xf numFmtId="1" fontId="7" fillId="2" borderId="4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9" fillId="0" borderId="9" xfId="1" applyFont="1" applyFill="1" applyBorder="1" applyAlignment="1">
      <alignment horizontal="right" vertical="center"/>
    </xf>
    <xf numFmtId="0" fontId="9" fillId="0" borderId="7" xfId="1" applyFont="1" applyFill="1" applyBorder="1" applyAlignment="1">
      <alignment horizontal="right" vertical="center"/>
    </xf>
    <xf numFmtId="2" fontId="9" fillId="0" borderId="7" xfId="1" applyNumberFormat="1" applyFont="1" applyFill="1" applyBorder="1" applyAlignment="1">
      <alignment horizontal="right" vertical="center"/>
    </xf>
    <xf numFmtId="176" fontId="9" fillId="0" borderId="7" xfId="1" applyNumberFormat="1" applyFont="1" applyFill="1" applyBorder="1" applyAlignment="1">
      <alignment horizontal="right" vertical="center"/>
    </xf>
    <xf numFmtId="176" fontId="9" fillId="2" borderId="7" xfId="1" applyNumberFormat="1" applyFont="1" applyFill="1" applyBorder="1" applyAlignment="1">
      <alignment horizontal="right" vertical="center"/>
    </xf>
    <xf numFmtId="2" fontId="9" fillId="2" borderId="7" xfId="1" applyNumberFormat="1" applyFont="1" applyFill="1" applyBorder="1" applyAlignment="1">
      <alignment horizontal="right" vertical="center"/>
    </xf>
    <xf numFmtId="1" fontId="9" fillId="0" borderId="7" xfId="1" applyNumberFormat="1" applyFont="1" applyFill="1" applyBorder="1" applyAlignment="1">
      <alignment horizontal="right" vertical="center"/>
    </xf>
    <xf numFmtId="2" fontId="9" fillId="2" borderId="8" xfId="1" applyNumberFormat="1" applyFont="1" applyFill="1" applyBorder="1" applyAlignment="1">
      <alignment horizontal="right" vertical="center"/>
    </xf>
    <xf numFmtId="176" fontId="7" fillId="0" borderId="4" xfId="0" applyNumberFormat="1" applyFont="1" applyBorder="1" applyAlignment="1">
      <alignment vertical="center"/>
    </xf>
    <xf numFmtId="176" fontId="10" fillId="2" borderId="4" xfId="1" applyNumberFormat="1" applyFont="1" applyFill="1" applyBorder="1" applyAlignment="1">
      <alignment vertical="center" wrapText="1"/>
    </xf>
    <xf numFmtId="176" fontId="7" fillId="2" borderId="4" xfId="0" applyNumberFormat="1" applyFont="1" applyFill="1" applyBorder="1" applyAlignment="1">
      <alignment vertical="center"/>
    </xf>
    <xf numFmtId="176" fontId="10" fillId="0" borderId="7" xfId="1" applyNumberFormat="1" applyFont="1" applyFill="1" applyBorder="1" applyAlignment="1">
      <alignment vertical="center" wrapText="1"/>
    </xf>
    <xf numFmtId="176" fontId="10" fillId="2" borderId="7" xfId="1" applyNumberFormat="1" applyFont="1" applyFill="1" applyBorder="1" applyAlignment="1">
      <alignment vertical="center" wrapText="1"/>
    </xf>
    <xf numFmtId="176" fontId="10" fillId="0" borderId="7" xfId="1" applyNumberFormat="1" applyFont="1" applyFill="1" applyBorder="1" applyAlignment="1">
      <alignment horizontal="right" vertical="center" wrapText="1"/>
    </xf>
    <xf numFmtId="0" fontId="3" fillId="2" borderId="4" xfId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2" fontId="5" fillId="0" borderId="4" xfId="0" applyNumberFormat="1" applyFont="1" applyFill="1" applyBorder="1">
      <alignment vertical="center"/>
    </xf>
    <xf numFmtId="2" fontId="5" fillId="0" borderId="5" xfId="0" applyNumberFormat="1" applyFont="1" applyFill="1" applyBorder="1">
      <alignment vertical="center"/>
    </xf>
    <xf numFmtId="0" fontId="7" fillId="0" borderId="6" xfId="0" applyFont="1" applyFill="1" applyBorder="1">
      <alignment vertical="center"/>
    </xf>
    <xf numFmtId="2" fontId="7" fillId="0" borderId="5" xfId="0" applyNumberFormat="1" applyFont="1" applyFill="1" applyBorder="1">
      <alignment vertical="center"/>
    </xf>
    <xf numFmtId="0" fontId="9" fillId="0" borderId="4" xfId="1" applyFont="1" applyFill="1" applyBorder="1" applyAlignment="1">
      <alignment horizontal="right" vertical="center" wrapText="1"/>
    </xf>
    <xf numFmtId="2" fontId="9" fillId="0" borderId="4" xfId="1" applyNumberFormat="1" applyFont="1" applyFill="1" applyBorder="1" applyAlignment="1">
      <alignment horizontal="right" vertical="center" wrapText="1"/>
    </xf>
    <xf numFmtId="2" fontId="9" fillId="0" borderId="12" xfId="1" applyNumberFormat="1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vertical="center"/>
    </xf>
    <xf numFmtId="0" fontId="9" fillId="0" borderId="7" xfId="1" applyFont="1" applyFill="1" applyBorder="1" applyAlignment="1">
      <alignment horizontal="right" vertical="center" wrapText="1"/>
    </xf>
    <xf numFmtId="2" fontId="9" fillId="0" borderId="7" xfId="1" applyNumberFormat="1" applyFont="1" applyFill="1" applyBorder="1" applyAlignment="1">
      <alignment horizontal="right" vertical="center" wrapText="1"/>
    </xf>
    <xf numFmtId="2" fontId="9" fillId="2" borderId="13" xfId="1" applyNumberFormat="1" applyFont="1" applyFill="1" applyBorder="1" applyAlignment="1">
      <alignment horizontal="right" vertical="center"/>
    </xf>
    <xf numFmtId="0" fontId="13" fillId="0" borderId="0" xfId="0" applyFont="1" applyFill="1">
      <alignment vertical="center"/>
    </xf>
    <xf numFmtId="2" fontId="10" fillId="0" borderId="7" xfId="1" applyNumberFormat="1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9" fillId="0" borderId="19" xfId="1" applyFont="1" applyFill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center" vertical="center"/>
    </xf>
    <xf numFmtId="0" fontId="9" fillId="0" borderId="25" xfId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145"/>
  <sheetViews>
    <sheetView tabSelected="1" zoomScale="85" zoomScaleNormal="85" workbookViewId="0">
      <pane xSplit="2" ySplit="6" topLeftCell="C28" activePane="bottomRight" state="frozen"/>
      <selection pane="topRight" activeCell="C1" sqref="C1"/>
      <selection pane="bottomLeft" activeCell="A6" sqref="A6"/>
      <selection pane="bottomRight" sqref="A1:AU1"/>
    </sheetView>
  </sheetViews>
  <sheetFormatPr defaultRowHeight="16.5" x14ac:dyDescent="0.3"/>
  <cols>
    <col min="1" max="1" width="14" bestFit="1" customWidth="1"/>
    <col min="2" max="2" width="32.125" bestFit="1" customWidth="1"/>
    <col min="3" max="32" width="5.75" customWidth="1"/>
    <col min="33" max="47" width="5.875" customWidth="1"/>
  </cols>
  <sheetData>
    <row r="1" spans="1:47" ht="31.5" x14ac:dyDescent="0.3">
      <c r="A1" s="211" t="s">
        <v>30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</row>
    <row r="2" spans="1:47" x14ac:dyDescent="0.3">
      <c r="A2" s="184" t="s">
        <v>82</v>
      </c>
    </row>
    <row r="3" spans="1:47" ht="17.25" thickBot="1" x14ac:dyDescent="0.35">
      <c r="A3" s="184" t="s">
        <v>84</v>
      </c>
    </row>
    <row r="4" spans="1:47" x14ac:dyDescent="0.3">
      <c r="A4" s="212" t="s">
        <v>11</v>
      </c>
      <c r="B4" s="214" t="s">
        <v>0</v>
      </c>
      <c r="C4" s="216" t="s">
        <v>53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8"/>
      <c r="R4" s="216" t="s">
        <v>47</v>
      </c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6" t="s">
        <v>33</v>
      </c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8"/>
    </row>
    <row r="5" spans="1:47" ht="30" customHeight="1" x14ac:dyDescent="0.3">
      <c r="A5" s="213"/>
      <c r="B5" s="215"/>
      <c r="C5" s="206" t="s">
        <v>1</v>
      </c>
      <c r="D5" s="207"/>
      <c r="E5" s="207"/>
      <c r="F5" s="207"/>
      <c r="G5" s="207"/>
      <c r="H5" s="203" t="s">
        <v>2</v>
      </c>
      <c r="I5" s="204"/>
      <c r="J5" s="204"/>
      <c r="K5" s="205"/>
      <c r="L5" s="208" t="s">
        <v>10</v>
      </c>
      <c r="M5" s="208"/>
      <c r="N5" s="209"/>
      <c r="O5" s="208" t="s">
        <v>3</v>
      </c>
      <c r="P5" s="208"/>
      <c r="Q5" s="210"/>
      <c r="R5" s="206" t="s">
        <v>1</v>
      </c>
      <c r="S5" s="207"/>
      <c r="T5" s="207"/>
      <c r="U5" s="207"/>
      <c r="V5" s="207"/>
      <c r="W5" s="203" t="s">
        <v>2</v>
      </c>
      <c r="X5" s="204"/>
      <c r="Y5" s="204"/>
      <c r="Z5" s="205"/>
      <c r="AA5" s="208" t="s">
        <v>10</v>
      </c>
      <c r="AB5" s="208"/>
      <c r="AC5" s="209"/>
      <c r="AD5" s="208" t="s">
        <v>3</v>
      </c>
      <c r="AE5" s="208"/>
      <c r="AF5" s="209"/>
      <c r="AG5" s="206" t="s">
        <v>1</v>
      </c>
      <c r="AH5" s="207"/>
      <c r="AI5" s="207"/>
      <c r="AJ5" s="207"/>
      <c r="AK5" s="207"/>
      <c r="AL5" s="203" t="s">
        <v>2</v>
      </c>
      <c r="AM5" s="204"/>
      <c r="AN5" s="204"/>
      <c r="AO5" s="205"/>
      <c r="AP5" s="208" t="s">
        <v>10</v>
      </c>
      <c r="AQ5" s="208"/>
      <c r="AR5" s="209"/>
      <c r="AS5" s="208" t="s">
        <v>3</v>
      </c>
      <c r="AT5" s="208"/>
      <c r="AU5" s="210"/>
    </row>
    <row r="6" spans="1:47" ht="66.75" customHeight="1" x14ac:dyDescent="0.3">
      <c r="A6" s="213"/>
      <c r="B6" s="215"/>
      <c r="C6" s="3" t="s">
        <v>4</v>
      </c>
      <c r="D6" s="1" t="s">
        <v>5</v>
      </c>
      <c r="E6" s="75" t="s">
        <v>6</v>
      </c>
      <c r="F6" s="1" t="s">
        <v>32</v>
      </c>
      <c r="G6" s="1" t="s">
        <v>7</v>
      </c>
      <c r="H6" s="1" t="s">
        <v>41</v>
      </c>
      <c r="I6" s="1" t="s">
        <v>8</v>
      </c>
      <c r="J6" s="1" t="s">
        <v>42</v>
      </c>
      <c r="K6" s="1" t="s">
        <v>44</v>
      </c>
      <c r="L6" s="75" t="s">
        <v>9</v>
      </c>
      <c r="M6" s="1" t="s">
        <v>28</v>
      </c>
      <c r="N6" s="6">
        <v>0.85</v>
      </c>
      <c r="O6" s="75" t="s">
        <v>9</v>
      </c>
      <c r="P6" s="1" t="s">
        <v>27</v>
      </c>
      <c r="Q6" s="7">
        <v>0.85</v>
      </c>
      <c r="R6" s="3" t="s">
        <v>4</v>
      </c>
      <c r="S6" s="1" t="s">
        <v>5</v>
      </c>
      <c r="T6" s="56" t="s">
        <v>6</v>
      </c>
      <c r="U6" s="1" t="s">
        <v>32</v>
      </c>
      <c r="V6" s="1" t="s">
        <v>7</v>
      </c>
      <c r="W6" s="1" t="s">
        <v>41</v>
      </c>
      <c r="X6" s="1" t="s">
        <v>8</v>
      </c>
      <c r="Y6" s="1" t="s">
        <v>42</v>
      </c>
      <c r="Z6" s="1" t="s">
        <v>44</v>
      </c>
      <c r="AA6" s="56" t="s">
        <v>9</v>
      </c>
      <c r="AB6" s="1" t="s">
        <v>28</v>
      </c>
      <c r="AC6" s="6">
        <v>0.85</v>
      </c>
      <c r="AD6" s="56" t="s">
        <v>9</v>
      </c>
      <c r="AE6" s="1" t="s">
        <v>27</v>
      </c>
      <c r="AF6" s="6">
        <v>0.85</v>
      </c>
      <c r="AG6" s="3" t="s">
        <v>4</v>
      </c>
      <c r="AH6" s="1" t="s">
        <v>5</v>
      </c>
      <c r="AI6" s="75" t="s">
        <v>6</v>
      </c>
      <c r="AJ6" s="1" t="s">
        <v>32</v>
      </c>
      <c r="AK6" s="1" t="s">
        <v>7</v>
      </c>
      <c r="AL6" s="1" t="s">
        <v>41</v>
      </c>
      <c r="AM6" s="1" t="s">
        <v>8</v>
      </c>
      <c r="AN6" s="1" t="s">
        <v>42</v>
      </c>
      <c r="AO6" s="1" t="s">
        <v>44</v>
      </c>
      <c r="AP6" s="75" t="s">
        <v>9</v>
      </c>
      <c r="AQ6" s="1" t="s">
        <v>28</v>
      </c>
      <c r="AR6" s="6">
        <v>0.85</v>
      </c>
      <c r="AS6" s="75" t="s">
        <v>9</v>
      </c>
      <c r="AT6" s="1" t="s">
        <v>27</v>
      </c>
      <c r="AU6" s="7">
        <v>0.85</v>
      </c>
    </row>
    <row r="7" spans="1:47" s="76" customFormat="1" ht="16.5" customHeight="1" x14ac:dyDescent="0.3">
      <c r="A7" s="199" t="s">
        <v>68</v>
      </c>
      <c r="B7" s="99" t="s">
        <v>54</v>
      </c>
      <c r="C7" s="78">
        <v>37</v>
      </c>
      <c r="D7" s="79">
        <v>229</v>
      </c>
      <c r="E7" s="80">
        <v>6.1891891891891895</v>
      </c>
      <c r="F7" s="79">
        <v>35</v>
      </c>
      <c r="G7" s="79">
        <v>60</v>
      </c>
      <c r="H7" s="79">
        <v>124</v>
      </c>
      <c r="I7" s="81">
        <f>H7/C7</f>
        <v>3.3513513513513513</v>
      </c>
      <c r="J7" s="82">
        <f>G7/(H7-C7)*100</f>
        <v>68.965517241379317</v>
      </c>
      <c r="K7" s="81">
        <v>5.0263709677419355</v>
      </c>
      <c r="L7" s="80">
        <v>90.82682857142855</v>
      </c>
      <c r="M7" s="81">
        <v>2.3186792236190312</v>
      </c>
      <c r="N7" s="80">
        <v>88.245000000000005</v>
      </c>
      <c r="O7" s="80">
        <v>4.8877142857142859</v>
      </c>
      <c r="P7" s="81">
        <v>0.45572601865773466</v>
      </c>
      <c r="Q7" s="83">
        <v>5.3859999999999992</v>
      </c>
      <c r="R7" s="93"/>
      <c r="S7" s="94"/>
      <c r="T7" s="95"/>
      <c r="U7" s="94"/>
      <c r="V7" s="94"/>
      <c r="W7" s="94"/>
      <c r="X7" s="94"/>
      <c r="Y7" s="94"/>
      <c r="Z7" s="94"/>
      <c r="AA7" s="95"/>
      <c r="AB7" s="94"/>
      <c r="AC7" s="96"/>
      <c r="AD7" s="95"/>
      <c r="AE7" s="94"/>
      <c r="AF7" s="96"/>
      <c r="AG7" s="93"/>
      <c r="AH7" s="94"/>
      <c r="AI7" s="95"/>
      <c r="AJ7" s="94"/>
      <c r="AK7" s="94"/>
      <c r="AL7" s="94"/>
      <c r="AM7" s="94"/>
      <c r="AN7" s="94"/>
      <c r="AO7" s="94"/>
      <c r="AP7" s="95"/>
      <c r="AQ7" s="94"/>
      <c r="AR7" s="96"/>
      <c r="AS7" s="95"/>
      <c r="AT7" s="94"/>
      <c r="AU7" s="98"/>
    </row>
    <row r="8" spans="1:47" x14ac:dyDescent="0.3">
      <c r="A8" s="200"/>
      <c r="B8" s="100" t="s">
        <v>14</v>
      </c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41"/>
      <c r="R8" s="9">
        <v>20</v>
      </c>
      <c r="S8" s="10">
        <v>88</v>
      </c>
      <c r="T8" s="11">
        <v>4.4000000000000004</v>
      </c>
      <c r="U8" s="10">
        <v>19</v>
      </c>
      <c r="V8" s="10">
        <v>29</v>
      </c>
      <c r="W8" s="10">
        <v>57</v>
      </c>
      <c r="X8" s="11">
        <v>2.85</v>
      </c>
      <c r="Y8" s="38">
        <v>78.378378378378372</v>
      </c>
      <c r="Z8" s="11">
        <v>4.6431578947368415</v>
      </c>
      <c r="AA8" s="50">
        <v>91.410210526315794</v>
      </c>
      <c r="AB8" s="50">
        <v>2.803547800817217</v>
      </c>
      <c r="AC8" s="11">
        <v>87.7179</v>
      </c>
      <c r="AD8" s="50">
        <v>4.6178947368421053</v>
      </c>
      <c r="AE8" s="50">
        <v>0.59352274773387004</v>
      </c>
      <c r="AF8" s="11">
        <v>5.3</v>
      </c>
      <c r="AG8" s="9">
        <v>18</v>
      </c>
      <c r="AH8" s="10">
        <v>119</v>
      </c>
      <c r="AI8" s="11">
        <v>6.6111111111111107</v>
      </c>
      <c r="AJ8" s="10">
        <v>16</v>
      </c>
      <c r="AK8" s="10">
        <v>40</v>
      </c>
      <c r="AL8" s="10">
        <v>89</v>
      </c>
      <c r="AM8" s="11">
        <f>AL8/AG8</f>
        <v>4.9444444444444446</v>
      </c>
      <c r="AN8" s="38">
        <f>AK8/(AL8-AG8)*100</f>
        <v>56.338028169014088</v>
      </c>
      <c r="AO8" s="11">
        <v>4.0377528089887633</v>
      </c>
      <c r="AP8" s="11">
        <v>94.192875000000001</v>
      </c>
      <c r="AQ8" s="11">
        <v>0.96916496757551196</v>
      </c>
      <c r="AR8" s="11">
        <v>93.331000000000003</v>
      </c>
      <c r="AS8" s="11">
        <v>3.7824999999999989</v>
      </c>
      <c r="AT8" s="11">
        <v>0.42521318182766921</v>
      </c>
      <c r="AU8" s="12">
        <v>4.1500000000000004</v>
      </c>
    </row>
    <row r="9" spans="1:47" x14ac:dyDescent="0.3">
      <c r="A9" s="200"/>
      <c r="B9" s="100" t="s">
        <v>16</v>
      </c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41"/>
      <c r="R9" s="9">
        <v>17</v>
      </c>
      <c r="S9" s="10">
        <v>87</v>
      </c>
      <c r="T9" s="11">
        <v>5.117647058823529</v>
      </c>
      <c r="U9" s="10">
        <v>16</v>
      </c>
      <c r="V9" s="10">
        <v>29</v>
      </c>
      <c r="W9" s="10">
        <v>46</v>
      </c>
      <c r="X9" s="11">
        <v>2.7058823529411766</v>
      </c>
      <c r="Y9" s="38">
        <v>100</v>
      </c>
      <c r="Z9" s="11">
        <v>5.1893478260869577</v>
      </c>
      <c r="AA9" s="50">
        <v>84.309124999999995</v>
      </c>
      <c r="AB9" s="50">
        <v>8.0463000493628432</v>
      </c>
      <c r="AC9" s="11">
        <v>77.471500000000006</v>
      </c>
      <c r="AD9" s="50">
        <v>5.5556250000000009</v>
      </c>
      <c r="AE9" s="50">
        <v>0.59447422936153349</v>
      </c>
      <c r="AF9" s="11">
        <v>6.1800000000000006</v>
      </c>
      <c r="AG9" s="9">
        <v>15</v>
      </c>
      <c r="AH9" s="10">
        <v>63</v>
      </c>
      <c r="AI9" s="11">
        <v>4.2</v>
      </c>
      <c r="AJ9" s="10">
        <v>10</v>
      </c>
      <c r="AK9" s="10">
        <v>30</v>
      </c>
      <c r="AL9" s="10">
        <v>45</v>
      </c>
      <c r="AM9" s="11">
        <f>AL9/AG9</f>
        <v>3</v>
      </c>
      <c r="AN9" s="38">
        <f>AK9/(AL9-AG9)*100</f>
        <v>100</v>
      </c>
      <c r="AO9" s="11">
        <v>4.5577777777777788</v>
      </c>
      <c r="AP9" s="11">
        <v>85.497099999999989</v>
      </c>
      <c r="AQ9" s="11">
        <v>6.613461082519736</v>
      </c>
      <c r="AR9" s="11">
        <v>80.24015</v>
      </c>
      <c r="AS9" s="11">
        <v>5.0200000000000005</v>
      </c>
      <c r="AT9" s="11">
        <v>0.68671682664690759</v>
      </c>
      <c r="AU9" s="12">
        <v>5.6290000000000004</v>
      </c>
    </row>
    <row r="10" spans="1:47" x14ac:dyDescent="0.3">
      <c r="A10" s="200"/>
      <c r="B10" s="100" t="s">
        <v>19</v>
      </c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  <c r="R10" s="9">
        <v>11</v>
      </c>
      <c r="S10" s="10">
        <v>27</v>
      </c>
      <c r="T10" s="11">
        <v>2.4545454545454546</v>
      </c>
      <c r="U10" s="10">
        <v>8</v>
      </c>
      <c r="V10" s="10">
        <v>6</v>
      </c>
      <c r="W10" s="10">
        <v>17</v>
      </c>
      <c r="X10" s="11">
        <v>1.5454545454545454</v>
      </c>
      <c r="Y10" s="38">
        <v>100</v>
      </c>
      <c r="Z10" s="11">
        <v>4.9382352941176464</v>
      </c>
      <c r="AA10" s="50">
        <v>88.586750000000009</v>
      </c>
      <c r="AB10" s="50">
        <v>6.1255375019256642</v>
      </c>
      <c r="AC10" s="11">
        <v>83.906399999999991</v>
      </c>
      <c r="AD10" s="50">
        <v>4.8350000000000009</v>
      </c>
      <c r="AE10" s="50">
        <v>0.67145364694816312</v>
      </c>
      <c r="AF10" s="11">
        <v>5.1389999999999993</v>
      </c>
      <c r="AG10" s="9">
        <v>10</v>
      </c>
      <c r="AH10" s="10">
        <v>51</v>
      </c>
      <c r="AI10" s="11">
        <v>5.0999999999999996</v>
      </c>
      <c r="AJ10" s="10">
        <v>9</v>
      </c>
      <c r="AK10" s="10">
        <v>24</v>
      </c>
      <c r="AL10" s="10">
        <v>40</v>
      </c>
      <c r="AM10" s="11">
        <f>AL10/AG10</f>
        <v>4</v>
      </c>
      <c r="AN10" s="38">
        <f>AK10/(AL10-AG10)*100</f>
        <v>80</v>
      </c>
      <c r="AO10" s="11">
        <v>4.1007499999999997</v>
      </c>
      <c r="AP10" s="11">
        <v>93.154111111111106</v>
      </c>
      <c r="AQ10" s="11">
        <v>2.0132899799111628</v>
      </c>
      <c r="AR10" s="11">
        <v>90.653999999999996</v>
      </c>
      <c r="AS10" s="11">
        <v>4.0577777777777779</v>
      </c>
      <c r="AT10" s="11">
        <v>0.61414398922904812</v>
      </c>
      <c r="AU10" s="12">
        <v>4.7859999999999996</v>
      </c>
    </row>
    <row r="11" spans="1:47" s="76" customFormat="1" ht="16.5" customHeight="1" x14ac:dyDescent="0.3">
      <c r="A11" s="200"/>
      <c r="B11" s="99" t="s">
        <v>55</v>
      </c>
      <c r="C11" s="78">
        <v>54</v>
      </c>
      <c r="D11" s="79">
        <v>311</v>
      </c>
      <c r="E11" s="80">
        <v>5.7592592592592595</v>
      </c>
      <c r="F11" s="79">
        <v>52</v>
      </c>
      <c r="G11" s="79">
        <v>100</v>
      </c>
      <c r="H11" s="79">
        <v>218</v>
      </c>
      <c r="I11" s="81">
        <f t="shared" ref="I11:I35" si="0">H11/C11</f>
        <v>4.0370370370370372</v>
      </c>
      <c r="J11" s="82">
        <f t="shared" ref="J11:J60" si="1">G11/(H11-C11)*100</f>
        <v>60.975609756097562</v>
      </c>
      <c r="K11" s="81">
        <v>4.8064220183486244</v>
      </c>
      <c r="L11" s="80">
        <v>91.672865384615378</v>
      </c>
      <c r="M11" s="81">
        <v>1.7399362502558453</v>
      </c>
      <c r="N11" s="80">
        <v>89.889449999999997</v>
      </c>
      <c r="O11" s="80">
        <v>4.649807692307693</v>
      </c>
      <c r="P11" s="81">
        <v>0.56350035964978618</v>
      </c>
      <c r="Q11" s="83">
        <v>5.0369999999999999</v>
      </c>
      <c r="R11" s="93"/>
      <c r="S11" s="94"/>
      <c r="T11" s="95"/>
      <c r="U11" s="94"/>
      <c r="V11" s="94"/>
      <c r="W11" s="94"/>
      <c r="X11" s="94"/>
      <c r="Y11" s="94"/>
      <c r="Z11" s="94"/>
      <c r="AA11" s="95"/>
      <c r="AB11" s="94"/>
      <c r="AC11" s="96"/>
      <c r="AD11" s="95"/>
      <c r="AE11" s="94"/>
      <c r="AF11" s="96"/>
      <c r="AG11" s="93"/>
      <c r="AH11" s="94"/>
      <c r="AI11" s="95"/>
      <c r="AJ11" s="94"/>
      <c r="AK11" s="94"/>
      <c r="AL11" s="94"/>
      <c r="AM11" s="94"/>
      <c r="AN11" s="94"/>
      <c r="AO11" s="94"/>
      <c r="AP11" s="95"/>
      <c r="AQ11" s="94"/>
      <c r="AR11" s="96"/>
      <c r="AS11" s="95"/>
      <c r="AT11" s="94"/>
      <c r="AU11" s="98"/>
    </row>
    <row r="12" spans="1:47" x14ac:dyDescent="0.3">
      <c r="A12" s="200"/>
      <c r="B12" s="100" t="s">
        <v>12</v>
      </c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41"/>
      <c r="R12" s="9">
        <v>30</v>
      </c>
      <c r="S12" s="10">
        <v>163</v>
      </c>
      <c r="T12" s="11">
        <v>5.4333333333333336</v>
      </c>
      <c r="U12" s="10">
        <v>30</v>
      </c>
      <c r="V12" s="10">
        <v>99</v>
      </c>
      <c r="W12" s="10">
        <v>132</v>
      </c>
      <c r="X12" s="11">
        <v>4.4000000000000004</v>
      </c>
      <c r="Y12" s="38">
        <v>97.058823529411768</v>
      </c>
      <c r="Z12" s="11">
        <v>4.3799242424242388</v>
      </c>
      <c r="AA12" s="50">
        <v>90.298733333333317</v>
      </c>
      <c r="AB12" s="50">
        <v>4.4388344260882224</v>
      </c>
      <c r="AC12" s="11">
        <v>85.28240000000001</v>
      </c>
      <c r="AD12" s="50">
        <v>4.6433333333333335</v>
      </c>
      <c r="AE12" s="50">
        <v>0.68107431475736679</v>
      </c>
      <c r="AF12" s="11">
        <v>5.32</v>
      </c>
      <c r="AG12" s="9">
        <v>27</v>
      </c>
      <c r="AH12" s="10">
        <v>139</v>
      </c>
      <c r="AI12" s="11">
        <v>5.1481481481481479</v>
      </c>
      <c r="AJ12" s="10">
        <v>27</v>
      </c>
      <c r="AK12" s="10">
        <v>73</v>
      </c>
      <c r="AL12" s="10">
        <v>107</v>
      </c>
      <c r="AM12" s="11">
        <f>AL12/AG12</f>
        <v>3.9629629629629628</v>
      </c>
      <c r="AN12" s="38">
        <f>AK12/(AL12-AG12)*100</f>
        <v>91.25</v>
      </c>
      <c r="AO12" s="11">
        <v>3.9404672897196287</v>
      </c>
      <c r="AP12" s="11">
        <v>92.878925925925955</v>
      </c>
      <c r="AQ12" s="11">
        <v>2.9126260891588815</v>
      </c>
      <c r="AR12" s="11">
        <v>89.956700000000012</v>
      </c>
      <c r="AS12" s="11">
        <v>3.9811111111111113</v>
      </c>
      <c r="AT12" s="11">
        <v>0.50904655490605988</v>
      </c>
      <c r="AU12" s="12">
        <v>4.5139999999999993</v>
      </c>
    </row>
    <row r="13" spans="1:47" x14ac:dyDescent="0.3">
      <c r="A13" s="200"/>
      <c r="B13" s="100" t="s">
        <v>13</v>
      </c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  <c r="R13" s="14"/>
      <c r="S13" s="15"/>
      <c r="T13" s="16"/>
      <c r="U13" s="15"/>
      <c r="V13" s="15"/>
      <c r="W13" s="15"/>
      <c r="X13" s="16"/>
      <c r="Y13" s="39"/>
      <c r="Z13" s="16"/>
      <c r="AA13" s="53"/>
      <c r="AB13" s="53"/>
      <c r="AC13" s="16"/>
      <c r="AD13" s="53"/>
      <c r="AE13" s="53"/>
      <c r="AF13" s="16"/>
      <c r="AG13" s="9">
        <v>12</v>
      </c>
      <c r="AH13" s="10">
        <v>71</v>
      </c>
      <c r="AI13" s="11">
        <v>5.916666666666667</v>
      </c>
      <c r="AJ13" s="10">
        <v>12</v>
      </c>
      <c r="AK13" s="10">
        <v>20</v>
      </c>
      <c r="AL13" s="10">
        <v>42</v>
      </c>
      <c r="AM13" s="11">
        <f>AL13/AG13</f>
        <v>3.5</v>
      </c>
      <c r="AN13" s="38">
        <f>AK13/(AL13-AG13)*100</f>
        <v>66.666666666666657</v>
      </c>
      <c r="AO13" s="11">
        <v>4.4838095238095246</v>
      </c>
      <c r="AP13" s="11">
        <v>91.989500000000007</v>
      </c>
      <c r="AQ13" s="11">
        <v>1.6929196919329792</v>
      </c>
      <c r="AR13" s="11">
        <v>90.344750000000005</v>
      </c>
      <c r="AS13" s="11">
        <v>4.4033333333333333</v>
      </c>
      <c r="AT13" s="11">
        <v>0.48482528353578919</v>
      </c>
      <c r="AU13" s="12">
        <v>4.9645000000000001</v>
      </c>
    </row>
    <row r="14" spans="1:47" x14ac:dyDescent="0.3">
      <c r="A14" s="200"/>
      <c r="B14" s="100" t="s">
        <v>48</v>
      </c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41"/>
      <c r="R14" s="9">
        <v>50</v>
      </c>
      <c r="S14" s="10">
        <v>213</v>
      </c>
      <c r="T14" s="11">
        <v>4.26</v>
      </c>
      <c r="U14" s="10">
        <v>46</v>
      </c>
      <c r="V14" s="10">
        <v>84</v>
      </c>
      <c r="W14" s="10">
        <v>161</v>
      </c>
      <c r="X14" s="11">
        <v>3.22</v>
      </c>
      <c r="Y14" s="38">
        <v>75.675675675675677</v>
      </c>
      <c r="Z14" s="11">
        <v>5.0595031055900632</v>
      </c>
      <c r="AA14" s="50">
        <v>89.498260869565243</v>
      </c>
      <c r="AB14" s="50">
        <v>2.9528565494294692</v>
      </c>
      <c r="AC14" s="11">
        <v>85.523750000000007</v>
      </c>
      <c r="AD14" s="50">
        <v>5.0136956521739133</v>
      </c>
      <c r="AE14" s="50">
        <v>0.45511756099816797</v>
      </c>
      <c r="AF14" s="11">
        <v>5.56</v>
      </c>
      <c r="AG14" s="9">
        <v>42</v>
      </c>
      <c r="AH14" s="10">
        <v>183</v>
      </c>
      <c r="AI14" s="11">
        <v>4.3571428571428568</v>
      </c>
      <c r="AJ14" s="10">
        <v>40</v>
      </c>
      <c r="AK14" s="10">
        <v>93</v>
      </c>
      <c r="AL14" s="10">
        <v>136</v>
      </c>
      <c r="AM14" s="11">
        <f>AL14/AG14</f>
        <v>3.2380952380952381</v>
      </c>
      <c r="AN14" s="38">
        <f>AK14/(AL14-AG14)*100</f>
        <v>98.936170212765958</v>
      </c>
      <c r="AO14" s="11">
        <v>4.3730147058823539</v>
      </c>
      <c r="AP14" s="11">
        <v>90.1678</v>
      </c>
      <c r="AQ14" s="11">
        <v>5.5604023829216587</v>
      </c>
      <c r="AR14" s="11">
        <v>85.432500000000005</v>
      </c>
      <c r="AS14" s="11">
        <v>4.4409999999999981</v>
      </c>
      <c r="AT14" s="11">
        <v>0.62956254653530697</v>
      </c>
      <c r="AU14" s="12">
        <v>5.1275000000000004</v>
      </c>
    </row>
    <row r="15" spans="1:47" s="76" customFormat="1" ht="16.5" customHeight="1" x14ac:dyDescent="0.3">
      <c r="A15" s="200"/>
      <c r="B15" s="99" t="s">
        <v>56</v>
      </c>
      <c r="C15" s="78">
        <v>28</v>
      </c>
      <c r="D15" s="79">
        <v>84</v>
      </c>
      <c r="E15" s="80">
        <v>3</v>
      </c>
      <c r="F15" s="79">
        <v>18</v>
      </c>
      <c r="G15" s="79">
        <v>14</v>
      </c>
      <c r="H15" s="79">
        <v>42</v>
      </c>
      <c r="I15" s="81">
        <f t="shared" si="0"/>
        <v>1.5</v>
      </c>
      <c r="J15" s="82">
        <f t="shared" si="1"/>
        <v>100</v>
      </c>
      <c r="K15" s="81">
        <v>5.1359523809523795</v>
      </c>
      <c r="L15" s="80">
        <v>81.389833333333328</v>
      </c>
      <c r="M15" s="81">
        <v>7.4248799111126651</v>
      </c>
      <c r="N15" s="80">
        <v>75.012100000000004</v>
      </c>
      <c r="O15" s="80">
        <v>5.5827777777777774</v>
      </c>
      <c r="P15" s="81">
        <v>0.48219181931808819</v>
      </c>
      <c r="Q15" s="83">
        <v>5.9845000000000006</v>
      </c>
      <c r="R15" s="9">
        <v>28</v>
      </c>
      <c r="S15" s="10">
        <v>91</v>
      </c>
      <c r="T15" s="11">
        <v>3.25</v>
      </c>
      <c r="U15" s="10">
        <v>13</v>
      </c>
      <c r="V15" s="10">
        <v>22</v>
      </c>
      <c r="W15" s="10">
        <v>50</v>
      </c>
      <c r="X15" s="11">
        <v>1.7857142857142858</v>
      </c>
      <c r="Y15" s="38">
        <v>100</v>
      </c>
      <c r="Z15" s="11">
        <v>4.4266000000000005</v>
      </c>
      <c r="AA15" s="50">
        <v>86.728307692307709</v>
      </c>
      <c r="AB15" s="50">
        <v>10.304061002153096</v>
      </c>
      <c r="AC15" s="11">
        <v>80.367199999999997</v>
      </c>
      <c r="AD15" s="50">
        <v>4.8923076923076927</v>
      </c>
      <c r="AE15" s="50">
        <v>0.81113551790213301</v>
      </c>
      <c r="AF15" s="11">
        <v>5.7859999999999996</v>
      </c>
      <c r="AG15" s="93"/>
      <c r="AH15" s="94"/>
      <c r="AI15" s="95"/>
      <c r="AJ15" s="94"/>
      <c r="AK15" s="94"/>
      <c r="AL15" s="94"/>
      <c r="AM15" s="94"/>
      <c r="AN15" s="94"/>
      <c r="AO15" s="94"/>
      <c r="AP15" s="95"/>
      <c r="AQ15" s="94"/>
      <c r="AR15" s="96"/>
      <c r="AS15" s="95"/>
      <c r="AT15" s="94"/>
      <c r="AU15" s="98"/>
    </row>
    <row r="16" spans="1:47" s="76" customFormat="1" ht="16.5" customHeight="1" x14ac:dyDescent="0.3">
      <c r="A16" s="200"/>
      <c r="B16" s="99" t="s">
        <v>57</v>
      </c>
      <c r="C16" s="78">
        <v>36</v>
      </c>
      <c r="D16" s="79">
        <v>83</v>
      </c>
      <c r="E16" s="80">
        <v>2.3055555555555554</v>
      </c>
      <c r="F16" s="79">
        <v>24</v>
      </c>
      <c r="G16" s="79">
        <v>9</v>
      </c>
      <c r="H16" s="79">
        <v>45</v>
      </c>
      <c r="I16" s="81">
        <f t="shared" si="0"/>
        <v>1.25</v>
      </c>
      <c r="J16" s="82">
        <f t="shared" si="1"/>
        <v>100</v>
      </c>
      <c r="K16" s="81">
        <v>5.3615555555555554</v>
      </c>
      <c r="L16" s="80">
        <v>82.778999999999982</v>
      </c>
      <c r="M16" s="81">
        <v>8.5566907057188359</v>
      </c>
      <c r="N16" s="80">
        <v>72.36515</v>
      </c>
      <c r="O16" s="80">
        <v>5.5737500000000004</v>
      </c>
      <c r="P16" s="81">
        <v>0.6451667258675553</v>
      </c>
      <c r="Q16" s="83">
        <v>6.2584999999999997</v>
      </c>
      <c r="R16" s="93"/>
      <c r="S16" s="94"/>
      <c r="T16" s="95"/>
      <c r="U16" s="94"/>
      <c r="V16" s="94"/>
      <c r="W16" s="94"/>
      <c r="X16" s="94"/>
      <c r="Y16" s="94"/>
      <c r="Z16" s="94"/>
      <c r="AA16" s="95"/>
      <c r="AB16" s="94"/>
      <c r="AC16" s="96"/>
      <c r="AD16" s="95"/>
      <c r="AE16" s="94"/>
      <c r="AF16" s="96"/>
      <c r="AG16" s="93"/>
      <c r="AH16" s="94"/>
      <c r="AI16" s="95"/>
      <c r="AJ16" s="94"/>
      <c r="AK16" s="94"/>
      <c r="AL16" s="94"/>
      <c r="AM16" s="94"/>
      <c r="AN16" s="94"/>
      <c r="AO16" s="94"/>
      <c r="AP16" s="95"/>
      <c r="AQ16" s="94"/>
      <c r="AR16" s="96"/>
      <c r="AS16" s="95"/>
      <c r="AT16" s="94"/>
      <c r="AU16" s="98"/>
    </row>
    <row r="17" spans="1:47" x14ac:dyDescent="0.3">
      <c r="A17" s="200"/>
      <c r="B17" s="100" t="s">
        <v>50</v>
      </c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41"/>
      <c r="R17" s="9">
        <v>30</v>
      </c>
      <c r="S17" s="10">
        <v>87</v>
      </c>
      <c r="T17" s="11">
        <v>2.9</v>
      </c>
      <c r="U17" s="10">
        <v>16</v>
      </c>
      <c r="V17" s="10">
        <v>19</v>
      </c>
      <c r="W17" s="10">
        <v>49</v>
      </c>
      <c r="X17" s="11">
        <v>1.6333333333333333</v>
      </c>
      <c r="Y17" s="38">
        <v>100</v>
      </c>
      <c r="Z17" s="11">
        <v>5.3624489795918375</v>
      </c>
      <c r="AA17" s="50">
        <v>87.094937499999986</v>
      </c>
      <c r="AB17" s="50">
        <v>4.1954141402960081</v>
      </c>
      <c r="AC17" s="11">
        <v>81.788749999999993</v>
      </c>
      <c r="AD17" s="50">
        <v>5.3162499999999993</v>
      </c>
      <c r="AE17" s="50">
        <v>0.51354010310783405</v>
      </c>
      <c r="AF17" s="11">
        <v>5.72</v>
      </c>
      <c r="AG17" s="9">
        <v>27</v>
      </c>
      <c r="AH17" s="10">
        <v>98</v>
      </c>
      <c r="AI17" s="11">
        <v>3.6296296296296298</v>
      </c>
      <c r="AJ17" s="10">
        <v>23</v>
      </c>
      <c r="AK17" s="10">
        <v>29</v>
      </c>
      <c r="AL17" s="10">
        <v>56</v>
      </c>
      <c r="AM17" s="11">
        <f>AL17/AG17</f>
        <v>2.074074074074074</v>
      </c>
      <c r="AN17" s="38">
        <f>AK17/(AL17-AG17)*100</f>
        <v>100</v>
      </c>
      <c r="AO17" s="11">
        <v>4.7983928571428569</v>
      </c>
      <c r="AP17" s="11">
        <v>85.90517391304347</v>
      </c>
      <c r="AQ17" s="11">
        <v>5.5440418755256555</v>
      </c>
      <c r="AR17" s="11">
        <v>80.736199999999997</v>
      </c>
      <c r="AS17" s="11">
        <v>5.1047826086956523</v>
      </c>
      <c r="AT17" s="11">
        <v>0.59774117974121388</v>
      </c>
      <c r="AU17" s="12">
        <v>5.6</v>
      </c>
    </row>
    <row r="18" spans="1:47" x14ac:dyDescent="0.3">
      <c r="A18" s="200"/>
      <c r="B18" s="100" t="s">
        <v>21</v>
      </c>
      <c r="C18" s="1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41"/>
      <c r="R18" s="9">
        <v>12</v>
      </c>
      <c r="S18" s="10">
        <v>27</v>
      </c>
      <c r="T18" s="11">
        <v>2.25</v>
      </c>
      <c r="U18" s="10">
        <v>8</v>
      </c>
      <c r="V18" s="10">
        <v>9</v>
      </c>
      <c r="W18" s="10">
        <v>21</v>
      </c>
      <c r="X18" s="11">
        <v>1.75</v>
      </c>
      <c r="Y18" s="38">
        <v>100</v>
      </c>
      <c r="Z18" s="11">
        <v>4.9428571428571422</v>
      </c>
      <c r="AA18" s="50">
        <v>84.059624999999997</v>
      </c>
      <c r="AB18" s="50">
        <v>8.9740413546169862</v>
      </c>
      <c r="AC18" s="11">
        <v>79.059700000000007</v>
      </c>
      <c r="AD18" s="50">
        <v>5.423750000000001</v>
      </c>
      <c r="AE18" s="50">
        <v>0.65444513711998031</v>
      </c>
      <c r="AF18" s="11">
        <v>6.0309999999999997</v>
      </c>
      <c r="AG18" s="9">
        <v>11</v>
      </c>
      <c r="AH18" s="10">
        <v>37</v>
      </c>
      <c r="AI18" s="11">
        <v>3.3636363636363638</v>
      </c>
      <c r="AJ18" s="10">
        <v>7</v>
      </c>
      <c r="AK18" s="10">
        <v>15</v>
      </c>
      <c r="AL18" s="10">
        <v>26</v>
      </c>
      <c r="AM18" s="11">
        <f>AL18/AG18</f>
        <v>2.3636363636363638</v>
      </c>
      <c r="AN18" s="38">
        <f>AK18/(AL18-AG18)*100</f>
        <v>100</v>
      </c>
      <c r="AO18" s="11">
        <v>4.4153846153846166</v>
      </c>
      <c r="AP18" s="11">
        <v>91.254571428571438</v>
      </c>
      <c r="AQ18" s="11">
        <v>1.9407550708158643</v>
      </c>
      <c r="AR18" s="11">
        <v>88.738299999999995</v>
      </c>
      <c r="AS18" s="11">
        <v>4.5342857142857138</v>
      </c>
      <c r="AT18" s="11">
        <v>0.37549423213593408</v>
      </c>
      <c r="AU18" s="12">
        <v>4.8609999999999998</v>
      </c>
    </row>
    <row r="19" spans="1:47" s="76" customFormat="1" ht="16.5" customHeight="1" x14ac:dyDescent="0.3">
      <c r="A19" s="200"/>
      <c r="B19" s="99" t="s">
        <v>58</v>
      </c>
      <c r="C19" s="78">
        <v>63</v>
      </c>
      <c r="D19" s="79">
        <v>155</v>
      </c>
      <c r="E19" s="80">
        <v>2.4603174603174605</v>
      </c>
      <c r="F19" s="79">
        <v>44</v>
      </c>
      <c r="G19" s="79">
        <v>38</v>
      </c>
      <c r="H19" s="79">
        <v>101</v>
      </c>
      <c r="I19" s="81">
        <f t="shared" si="0"/>
        <v>1.6031746031746033</v>
      </c>
      <c r="J19" s="82">
        <f t="shared" si="1"/>
        <v>100</v>
      </c>
      <c r="K19" s="81">
        <v>5.3322772277227726</v>
      </c>
      <c r="L19" s="80">
        <v>84.249340909090904</v>
      </c>
      <c r="M19" s="81">
        <v>9.5086307348618941</v>
      </c>
      <c r="N19" s="80">
        <v>77.933949999999996</v>
      </c>
      <c r="O19" s="80">
        <v>5.3859090909090916</v>
      </c>
      <c r="P19" s="81">
        <v>0.75229744535056131</v>
      </c>
      <c r="Q19" s="83">
        <v>5.9574999999999996</v>
      </c>
      <c r="R19" s="93"/>
      <c r="S19" s="94"/>
      <c r="T19" s="95"/>
      <c r="U19" s="94"/>
      <c r="V19" s="94"/>
      <c r="W19" s="94"/>
      <c r="X19" s="94"/>
      <c r="Y19" s="94"/>
      <c r="Z19" s="94"/>
      <c r="AA19" s="95"/>
      <c r="AB19" s="94"/>
      <c r="AC19" s="96"/>
      <c r="AD19" s="95"/>
      <c r="AE19" s="94"/>
      <c r="AF19" s="96"/>
      <c r="AG19" s="93"/>
      <c r="AH19" s="94"/>
      <c r="AI19" s="95"/>
      <c r="AJ19" s="94"/>
      <c r="AK19" s="94"/>
      <c r="AL19" s="94"/>
      <c r="AM19" s="94"/>
      <c r="AN19" s="94"/>
      <c r="AO19" s="94"/>
      <c r="AP19" s="95"/>
      <c r="AQ19" s="94"/>
      <c r="AR19" s="96"/>
      <c r="AS19" s="95"/>
      <c r="AT19" s="94"/>
      <c r="AU19" s="98"/>
    </row>
    <row r="20" spans="1:47" x14ac:dyDescent="0.3">
      <c r="A20" s="200"/>
      <c r="B20" s="100" t="s">
        <v>36</v>
      </c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41"/>
      <c r="R20" s="9">
        <v>10</v>
      </c>
      <c r="S20" s="10">
        <v>44</v>
      </c>
      <c r="T20" s="11">
        <v>4.4000000000000004</v>
      </c>
      <c r="U20" s="10">
        <v>8</v>
      </c>
      <c r="V20" s="10">
        <v>13</v>
      </c>
      <c r="W20" s="10">
        <v>23</v>
      </c>
      <c r="X20" s="11">
        <v>2.2999999999999998</v>
      </c>
      <c r="Y20" s="38">
        <v>100</v>
      </c>
      <c r="Z20" s="11">
        <v>5.3260869565217384</v>
      </c>
      <c r="AA20" s="50">
        <v>81.06049999999999</v>
      </c>
      <c r="AB20" s="50">
        <v>12.122032791574229</v>
      </c>
      <c r="AC20" s="11">
        <v>78.023099999999999</v>
      </c>
      <c r="AD20" s="50">
        <v>5.5949999999999989</v>
      </c>
      <c r="AE20" s="50">
        <v>0.76874898373917278</v>
      </c>
      <c r="AF20" s="11">
        <v>6.2185000000000006</v>
      </c>
      <c r="AG20" s="9">
        <v>9</v>
      </c>
      <c r="AH20" s="10">
        <v>27</v>
      </c>
      <c r="AI20" s="11">
        <v>3</v>
      </c>
      <c r="AJ20" s="10">
        <v>4</v>
      </c>
      <c r="AK20" s="10">
        <v>9</v>
      </c>
      <c r="AL20" s="10">
        <v>18</v>
      </c>
      <c r="AM20" s="11">
        <f>AL20/AG20</f>
        <v>2</v>
      </c>
      <c r="AN20" s="38">
        <f>AK20/(AL20-AG20)*100</f>
        <v>100</v>
      </c>
      <c r="AO20" s="11">
        <v>4.6161111111111097</v>
      </c>
      <c r="AP20" s="11">
        <v>76.777500000000003</v>
      </c>
      <c r="AQ20" s="11">
        <v>12.223231375131483</v>
      </c>
      <c r="AR20" s="11">
        <v>65.913349999999994</v>
      </c>
      <c r="AS20" s="11">
        <v>5.4874999999999998</v>
      </c>
      <c r="AT20" s="11">
        <v>0.74129531901935297</v>
      </c>
      <c r="AU20" s="12">
        <v>6.1325000000000003</v>
      </c>
    </row>
    <row r="21" spans="1:47" x14ac:dyDescent="0.3">
      <c r="A21" s="200"/>
      <c r="B21" s="100" t="s">
        <v>15</v>
      </c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41"/>
      <c r="R21" s="9">
        <v>42</v>
      </c>
      <c r="S21" s="10">
        <v>160</v>
      </c>
      <c r="T21" s="11">
        <v>3.8095238095238093</v>
      </c>
      <c r="U21" s="10">
        <v>36</v>
      </c>
      <c r="V21" s="10">
        <v>71</v>
      </c>
      <c r="W21" s="10">
        <v>113</v>
      </c>
      <c r="X21" s="11">
        <v>2.6904761904761907</v>
      </c>
      <c r="Y21" s="38">
        <v>100</v>
      </c>
      <c r="Z21" s="11">
        <v>4.8194690265486715</v>
      </c>
      <c r="AA21" s="50">
        <v>89.292083333333338</v>
      </c>
      <c r="AB21" s="50">
        <v>4.7806671569223402</v>
      </c>
      <c r="AC21" s="11">
        <v>85.029750000000007</v>
      </c>
      <c r="AD21" s="50">
        <v>4.9261111111111129</v>
      </c>
      <c r="AE21" s="50">
        <v>0.56339387139102348</v>
      </c>
      <c r="AF21" s="11">
        <v>5.5549999999999997</v>
      </c>
      <c r="AG21" s="9">
        <v>37</v>
      </c>
      <c r="AH21" s="10">
        <v>131</v>
      </c>
      <c r="AI21" s="11">
        <v>3.5405405405405403</v>
      </c>
      <c r="AJ21" s="10">
        <v>27</v>
      </c>
      <c r="AK21" s="10">
        <v>63</v>
      </c>
      <c r="AL21" s="10">
        <v>100</v>
      </c>
      <c r="AM21" s="11">
        <f>AL21/AG21</f>
        <v>2.7027027027027026</v>
      </c>
      <c r="AN21" s="38">
        <f>AK21/(AL21-AG21)*100</f>
        <v>100</v>
      </c>
      <c r="AO21" s="11">
        <v>4.3966999999999983</v>
      </c>
      <c r="AP21" s="11">
        <v>90.908777777777757</v>
      </c>
      <c r="AQ21" s="11">
        <v>3.8139869713053702</v>
      </c>
      <c r="AR21" s="11">
        <v>89.062699999999992</v>
      </c>
      <c r="AS21" s="11">
        <v>4.5259259259259261</v>
      </c>
      <c r="AT21" s="11">
        <v>0.52408127203538102</v>
      </c>
      <c r="AU21" s="12">
        <v>4.9539999999999997</v>
      </c>
    </row>
    <row r="22" spans="1:47" s="76" customFormat="1" ht="16.5" customHeight="1" x14ac:dyDescent="0.3">
      <c r="A22" s="200"/>
      <c r="B22" s="99" t="s">
        <v>59</v>
      </c>
      <c r="C22" s="78">
        <v>55</v>
      </c>
      <c r="D22" s="79">
        <v>303</v>
      </c>
      <c r="E22" s="80">
        <v>5.5090909090909088</v>
      </c>
      <c r="F22" s="79">
        <v>51</v>
      </c>
      <c r="G22" s="79">
        <v>82</v>
      </c>
      <c r="H22" s="79">
        <v>237</v>
      </c>
      <c r="I22" s="81">
        <f t="shared" si="0"/>
        <v>4.3090909090909095</v>
      </c>
      <c r="J22" s="82">
        <f t="shared" si="1"/>
        <v>45.054945054945058</v>
      </c>
      <c r="K22" s="81">
        <v>4.2880590717299594</v>
      </c>
      <c r="L22" s="80">
        <v>94.181647058823529</v>
      </c>
      <c r="M22" s="81">
        <v>1.2272824566378444</v>
      </c>
      <c r="N22" s="80">
        <v>93.006500000000003</v>
      </c>
      <c r="O22" s="80">
        <v>3.8729411764705883</v>
      </c>
      <c r="P22" s="81">
        <v>0.58699064400348966</v>
      </c>
      <c r="Q22" s="83">
        <v>4.41</v>
      </c>
      <c r="R22" s="9">
        <v>78</v>
      </c>
      <c r="S22" s="10">
        <v>262</v>
      </c>
      <c r="T22" s="11">
        <v>3.358974358974359</v>
      </c>
      <c r="U22" s="10">
        <v>75</v>
      </c>
      <c r="V22" s="10">
        <v>108</v>
      </c>
      <c r="W22" s="10">
        <v>199</v>
      </c>
      <c r="X22" s="11">
        <v>2.5512820512820511</v>
      </c>
      <c r="Y22" s="38">
        <v>89.256198347107443</v>
      </c>
      <c r="Z22" s="11">
        <v>4.2090954773869322</v>
      </c>
      <c r="AA22" s="50">
        <v>92.537106666666688</v>
      </c>
      <c r="AB22" s="50">
        <v>2.5600889701895135</v>
      </c>
      <c r="AC22" s="11">
        <v>89.660499999999999</v>
      </c>
      <c r="AD22" s="50">
        <v>4.2548000000000004</v>
      </c>
      <c r="AE22" s="50">
        <v>0.70062136231585681</v>
      </c>
      <c r="AF22" s="11">
        <v>5.0680000000000005</v>
      </c>
      <c r="AG22" s="9">
        <v>70</v>
      </c>
      <c r="AH22" s="10">
        <v>459</v>
      </c>
      <c r="AI22" s="11">
        <v>6.5571428571428569</v>
      </c>
      <c r="AJ22" s="10">
        <v>64</v>
      </c>
      <c r="AK22" s="10">
        <v>195</v>
      </c>
      <c r="AL22" s="10">
        <v>390</v>
      </c>
      <c r="AM22" s="11">
        <f>AL22/AG22</f>
        <v>5.5714285714285712</v>
      </c>
      <c r="AN22" s="38">
        <f>AK22/(AL22-AG22)*100</f>
        <v>60.9375</v>
      </c>
      <c r="AO22" s="11">
        <v>3.8101282051282039</v>
      </c>
      <c r="AP22" s="11">
        <v>94.934234375000017</v>
      </c>
      <c r="AQ22" s="11">
        <v>0.82352227015632207</v>
      </c>
      <c r="AR22" s="11">
        <v>93.993399999999994</v>
      </c>
      <c r="AS22" s="11">
        <v>3.4959374999999993</v>
      </c>
      <c r="AT22" s="11">
        <v>0.38597975477188157</v>
      </c>
      <c r="AU22" s="12">
        <v>3.9064999999999999</v>
      </c>
    </row>
    <row r="23" spans="1:47" s="76" customFormat="1" ht="16.5" customHeight="1" x14ac:dyDescent="0.3">
      <c r="A23" s="200"/>
      <c r="B23" s="99" t="s">
        <v>60</v>
      </c>
      <c r="C23" s="78">
        <v>28</v>
      </c>
      <c r="D23" s="79">
        <v>200</v>
      </c>
      <c r="E23" s="80">
        <v>7.1428571428571432</v>
      </c>
      <c r="F23" s="79">
        <v>27</v>
      </c>
      <c r="G23" s="79">
        <v>47</v>
      </c>
      <c r="H23" s="79">
        <v>148</v>
      </c>
      <c r="I23" s="81">
        <f t="shared" si="0"/>
        <v>5.2857142857142856</v>
      </c>
      <c r="J23" s="82">
        <f t="shared" si="1"/>
        <v>39.166666666666664</v>
      </c>
      <c r="K23" s="81">
        <v>4.3225675675675665</v>
      </c>
      <c r="L23" s="80">
        <v>94.72725925925927</v>
      </c>
      <c r="M23" s="81">
        <v>1.1269486363969787</v>
      </c>
      <c r="N23" s="80">
        <v>93.554999999999993</v>
      </c>
      <c r="O23" s="80">
        <v>3.6362962962962966</v>
      </c>
      <c r="P23" s="81">
        <v>0.56318635918447657</v>
      </c>
      <c r="Q23" s="83">
        <v>4.226</v>
      </c>
      <c r="R23" s="93"/>
      <c r="S23" s="94"/>
      <c r="T23" s="95"/>
      <c r="U23" s="94"/>
      <c r="V23" s="94"/>
      <c r="W23" s="94"/>
      <c r="X23" s="94"/>
      <c r="Y23" s="94"/>
      <c r="Z23" s="94"/>
      <c r="AA23" s="95"/>
      <c r="AB23" s="94"/>
      <c r="AC23" s="96"/>
      <c r="AD23" s="95"/>
      <c r="AE23" s="94"/>
      <c r="AF23" s="96"/>
      <c r="AG23" s="93"/>
      <c r="AH23" s="94"/>
      <c r="AI23" s="95"/>
      <c r="AJ23" s="94"/>
      <c r="AK23" s="94"/>
      <c r="AL23" s="94"/>
      <c r="AM23" s="94"/>
      <c r="AN23" s="94"/>
      <c r="AO23" s="94"/>
      <c r="AP23" s="95"/>
      <c r="AQ23" s="94"/>
      <c r="AR23" s="96"/>
      <c r="AS23" s="95"/>
      <c r="AT23" s="94"/>
      <c r="AU23" s="98"/>
    </row>
    <row r="24" spans="1:47" x14ac:dyDescent="0.3">
      <c r="A24" s="200"/>
      <c r="B24" s="100" t="s">
        <v>17</v>
      </c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41"/>
      <c r="R24" s="9">
        <v>27</v>
      </c>
      <c r="S24" s="10">
        <v>119</v>
      </c>
      <c r="T24" s="11">
        <v>4.4074074074074074</v>
      </c>
      <c r="U24" s="10">
        <v>26</v>
      </c>
      <c r="V24" s="10">
        <v>42</v>
      </c>
      <c r="W24" s="10">
        <v>91</v>
      </c>
      <c r="X24" s="11">
        <v>3.3703703703703702</v>
      </c>
      <c r="Y24" s="38">
        <v>65.625</v>
      </c>
      <c r="Z24" s="11">
        <v>3.9523076923076914</v>
      </c>
      <c r="AA24" s="50">
        <v>94.173307692307702</v>
      </c>
      <c r="AB24" s="50">
        <v>1.4387925431578197</v>
      </c>
      <c r="AC24" s="11">
        <v>92.660249999999991</v>
      </c>
      <c r="AD24" s="50">
        <v>3.8819230769230768</v>
      </c>
      <c r="AE24" s="50">
        <v>0.68880062556239874</v>
      </c>
      <c r="AF24" s="11">
        <v>4.6349999999999998</v>
      </c>
      <c r="AG24" s="9">
        <v>24</v>
      </c>
      <c r="AH24" s="10">
        <v>165</v>
      </c>
      <c r="AI24" s="11">
        <v>6.875</v>
      </c>
      <c r="AJ24" s="10">
        <v>22</v>
      </c>
      <c r="AK24" s="10">
        <v>57</v>
      </c>
      <c r="AL24" s="10">
        <v>139</v>
      </c>
      <c r="AM24" s="11">
        <f>AL24/AG24</f>
        <v>5.791666666666667</v>
      </c>
      <c r="AN24" s="38">
        <f>AK24/(AL24-AG24)*100</f>
        <v>49.565217391304351</v>
      </c>
      <c r="AO24" s="11">
        <v>3.4785611510791368</v>
      </c>
      <c r="AP24" s="11">
        <v>95.873090909090919</v>
      </c>
      <c r="AQ24" s="11">
        <v>0.91855375005183637</v>
      </c>
      <c r="AR24" s="11">
        <v>94.936949999999996</v>
      </c>
      <c r="AS24" s="11">
        <v>3.0627272727272725</v>
      </c>
      <c r="AT24" s="11">
        <v>0.4586361383907907</v>
      </c>
      <c r="AU24" s="12">
        <v>3.5284999999999997</v>
      </c>
    </row>
    <row r="25" spans="1:47" x14ac:dyDescent="0.3">
      <c r="A25" s="200"/>
      <c r="B25" s="100" t="s">
        <v>18</v>
      </c>
      <c r="C25" s="1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41"/>
      <c r="R25" s="9">
        <v>21</v>
      </c>
      <c r="S25" s="10">
        <v>66</v>
      </c>
      <c r="T25" s="11">
        <v>3.1428571428571428</v>
      </c>
      <c r="U25" s="10">
        <v>21</v>
      </c>
      <c r="V25" s="10">
        <v>24</v>
      </c>
      <c r="W25" s="10">
        <v>47</v>
      </c>
      <c r="X25" s="11">
        <v>2.2380952380952381</v>
      </c>
      <c r="Y25" s="38">
        <v>92.307692307692307</v>
      </c>
      <c r="Z25" s="11">
        <v>4.2231914893617031</v>
      </c>
      <c r="AA25" s="50">
        <v>91.375190476190483</v>
      </c>
      <c r="AB25" s="50">
        <v>3.327166184737385</v>
      </c>
      <c r="AC25" s="11">
        <v>88.626000000000005</v>
      </c>
      <c r="AD25" s="50">
        <v>4.4509523809523817</v>
      </c>
      <c r="AE25" s="50">
        <v>0.78378146104944357</v>
      </c>
      <c r="AF25" s="11">
        <v>5.16</v>
      </c>
      <c r="AG25" s="9">
        <v>18</v>
      </c>
      <c r="AH25" s="10">
        <v>161</v>
      </c>
      <c r="AI25" s="11">
        <v>8.9444444444444446</v>
      </c>
      <c r="AJ25" s="10">
        <v>17</v>
      </c>
      <c r="AK25" s="10">
        <v>39</v>
      </c>
      <c r="AL25" s="10">
        <v>130</v>
      </c>
      <c r="AM25" s="11">
        <f>AL25/AG25</f>
        <v>7.2222222222222223</v>
      </c>
      <c r="AN25" s="38">
        <f>AK25/(AL25-AG25)*100</f>
        <v>34.821428571428569</v>
      </c>
      <c r="AO25" s="11">
        <v>3.7706153846153843</v>
      </c>
      <c r="AP25" s="11">
        <v>95.356529411764711</v>
      </c>
      <c r="AQ25" s="11">
        <v>0.54239817343485697</v>
      </c>
      <c r="AR25" s="11">
        <v>94.894800000000004</v>
      </c>
      <c r="AS25" s="11">
        <v>3.3223529411764701</v>
      </c>
      <c r="AT25" s="11">
        <v>0.27117455658378326</v>
      </c>
      <c r="AU25" s="12">
        <v>3.5539999999999998</v>
      </c>
    </row>
    <row r="26" spans="1:47" s="76" customFormat="1" ht="16.5" customHeight="1" x14ac:dyDescent="0.3">
      <c r="A26" s="200"/>
      <c r="B26" s="99" t="s">
        <v>61</v>
      </c>
      <c r="C26" s="78">
        <v>15</v>
      </c>
      <c r="D26" s="79">
        <v>46</v>
      </c>
      <c r="E26" s="80">
        <v>3.0666666666666669</v>
      </c>
      <c r="F26" s="79">
        <v>10</v>
      </c>
      <c r="G26" s="79">
        <v>16</v>
      </c>
      <c r="H26" s="79">
        <v>31</v>
      </c>
      <c r="I26" s="81">
        <f t="shared" si="0"/>
        <v>2.0666666666666669</v>
      </c>
      <c r="J26" s="82">
        <f t="shared" si="1"/>
        <v>100</v>
      </c>
      <c r="K26" s="81">
        <v>4.65225806451613</v>
      </c>
      <c r="L26" s="80">
        <v>91.357099999999988</v>
      </c>
      <c r="M26" s="81">
        <v>2.144476787004705</v>
      </c>
      <c r="N26" s="80">
        <v>89.172749999999994</v>
      </c>
      <c r="O26" s="80">
        <v>4.6530000000000005</v>
      </c>
      <c r="P26" s="81">
        <v>0.41323238014463753</v>
      </c>
      <c r="Q26" s="83">
        <v>5.0549999999999997</v>
      </c>
      <c r="R26" s="9">
        <v>13</v>
      </c>
      <c r="S26" s="10">
        <v>57</v>
      </c>
      <c r="T26" s="11">
        <v>4.384615384615385</v>
      </c>
      <c r="U26" s="10">
        <v>10</v>
      </c>
      <c r="V26" s="10">
        <v>31</v>
      </c>
      <c r="W26" s="10">
        <v>47</v>
      </c>
      <c r="X26" s="11">
        <v>3.6153846153846154</v>
      </c>
      <c r="Y26" s="38">
        <v>91.17647058823529</v>
      </c>
      <c r="Z26" s="11">
        <v>4.3251063829787224</v>
      </c>
      <c r="AA26" s="50">
        <v>93.144100000000009</v>
      </c>
      <c r="AB26" s="50">
        <v>1.244718076512997</v>
      </c>
      <c r="AC26" s="11">
        <v>92.561999999999998</v>
      </c>
      <c r="AD26" s="50">
        <v>4.2720000000000002</v>
      </c>
      <c r="AE26" s="50">
        <v>0.44843728658531001</v>
      </c>
      <c r="AF26" s="11">
        <v>4.7144999999999992</v>
      </c>
      <c r="AG26" s="9">
        <v>12</v>
      </c>
      <c r="AH26" s="10">
        <v>80</v>
      </c>
      <c r="AI26" s="11">
        <v>6.666666666666667</v>
      </c>
      <c r="AJ26" s="10">
        <v>11</v>
      </c>
      <c r="AK26" s="10">
        <v>27</v>
      </c>
      <c r="AL26" s="10">
        <v>61</v>
      </c>
      <c r="AM26" s="11">
        <f>AL26/AG26</f>
        <v>5.083333333333333</v>
      </c>
      <c r="AN26" s="38">
        <f>AK26/(AL26-AG26)*100</f>
        <v>55.102040816326522</v>
      </c>
      <c r="AO26" s="11">
        <v>4.1373770491803281</v>
      </c>
      <c r="AP26" s="11">
        <v>93.673181818181817</v>
      </c>
      <c r="AQ26" s="11">
        <v>1.0557112051893445</v>
      </c>
      <c r="AR26" s="11">
        <v>92.902500000000003</v>
      </c>
      <c r="AS26" s="11">
        <v>4.0645454545454553</v>
      </c>
      <c r="AT26" s="11">
        <v>0.51310753146194388</v>
      </c>
      <c r="AU26" s="12">
        <v>4.4550000000000001</v>
      </c>
    </row>
    <row r="27" spans="1:47" s="76" customFormat="1" ht="16.5" customHeight="1" x14ac:dyDescent="0.3">
      <c r="A27" s="200"/>
      <c r="B27" s="99" t="s">
        <v>62</v>
      </c>
      <c r="C27" s="78">
        <v>35</v>
      </c>
      <c r="D27" s="79">
        <v>97</v>
      </c>
      <c r="E27" s="80">
        <v>2.7714285714285714</v>
      </c>
      <c r="F27" s="79">
        <v>18</v>
      </c>
      <c r="G27" s="79">
        <v>29</v>
      </c>
      <c r="H27" s="79">
        <v>64</v>
      </c>
      <c r="I27" s="81">
        <f t="shared" si="0"/>
        <v>1.8285714285714285</v>
      </c>
      <c r="J27" s="82">
        <f t="shared" si="1"/>
        <v>100</v>
      </c>
      <c r="K27" s="81">
        <v>4.5523437499999995</v>
      </c>
      <c r="L27" s="80">
        <v>89.478055555555585</v>
      </c>
      <c r="M27" s="81">
        <v>5.0758225767103351</v>
      </c>
      <c r="N27" s="80">
        <v>83.673099999999991</v>
      </c>
      <c r="O27" s="80">
        <v>4.923333333333332</v>
      </c>
      <c r="P27" s="81">
        <v>0.58884066888535014</v>
      </c>
      <c r="Q27" s="83">
        <v>5.6989999999999998</v>
      </c>
      <c r="R27" s="93"/>
      <c r="S27" s="94"/>
      <c r="T27" s="95"/>
      <c r="U27" s="94"/>
      <c r="V27" s="94"/>
      <c r="W27" s="94"/>
      <c r="X27" s="94"/>
      <c r="Y27" s="94"/>
      <c r="Z27" s="94"/>
      <c r="AA27" s="95"/>
      <c r="AB27" s="94"/>
      <c r="AC27" s="96"/>
      <c r="AD27" s="95"/>
      <c r="AE27" s="94"/>
      <c r="AF27" s="96"/>
      <c r="AG27" s="93"/>
      <c r="AH27" s="94"/>
      <c r="AI27" s="95"/>
      <c r="AJ27" s="94"/>
      <c r="AK27" s="94"/>
      <c r="AL27" s="94"/>
      <c r="AM27" s="94"/>
      <c r="AN27" s="94"/>
      <c r="AO27" s="94"/>
      <c r="AP27" s="95"/>
      <c r="AQ27" s="94"/>
      <c r="AR27" s="96"/>
      <c r="AS27" s="95"/>
      <c r="AT27" s="94"/>
      <c r="AU27" s="98"/>
    </row>
    <row r="28" spans="1:47" x14ac:dyDescent="0.3">
      <c r="A28" s="200"/>
      <c r="B28" s="100" t="s">
        <v>38</v>
      </c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41"/>
      <c r="R28" s="9">
        <v>13</v>
      </c>
      <c r="S28" s="10">
        <v>42</v>
      </c>
      <c r="T28" s="11">
        <v>3.2307692307692308</v>
      </c>
      <c r="U28" s="10">
        <v>5</v>
      </c>
      <c r="V28" s="10">
        <v>5</v>
      </c>
      <c r="W28" s="10">
        <v>18</v>
      </c>
      <c r="X28" s="11">
        <v>1.3846153846153846</v>
      </c>
      <c r="Y28" s="38">
        <v>100</v>
      </c>
      <c r="Z28" s="11">
        <v>5.8505555555555553</v>
      </c>
      <c r="AA28" s="50">
        <v>81.144199999999998</v>
      </c>
      <c r="AB28" s="50">
        <v>3.164693122563234</v>
      </c>
      <c r="AC28" s="11">
        <v>77.72399999999999</v>
      </c>
      <c r="AD28" s="50">
        <v>5.8699999999999992</v>
      </c>
      <c r="AE28" s="50">
        <v>0.37309516212355964</v>
      </c>
      <c r="AF28" s="11">
        <v>6.2160000000000002</v>
      </c>
      <c r="AG28" s="9">
        <v>11</v>
      </c>
      <c r="AH28" s="10">
        <v>25</v>
      </c>
      <c r="AI28" s="11">
        <v>2.2727272727272729</v>
      </c>
      <c r="AJ28" s="10">
        <v>3</v>
      </c>
      <c r="AK28" s="10">
        <v>3</v>
      </c>
      <c r="AL28" s="10">
        <v>14</v>
      </c>
      <c r="AM28" s="11">
        <f t="shared" ref="AM28:AM33" si="2">AL28/AG28</f>
        <v>1.2727272727272727</v>
      </c>
      <c r="AN28" s="38">
        <f t="shared" ref="AN28:AN33" si="3">AK28/(AL28-AG28)*100</f>
        <v>100</v>
      </c>
      <c r="AO28" s="11">
        <v>5.1914285714285722</v>
      </c>
      <c r="AP28" s="11">
        <v>72.802999999999997</v>
      </c>
      <c r="AQ28" s="11">
        <v>14.01476200297388</v>
      </c>
      <c r="AR28" s="11">
        <v>60.751900000000006</v>
      </c>
      <c r="AS28" s="11">
        <v>5.9633333333333338</v>
      </c>
      <c r="AT28" s="11">
        <v>0.65178387692717699</v>
      </c>
      <c r="AU28" s="12">
        <v>6.524</v>
      </c>
    </row>
    <row r="29" spans="1:47" x14ac:dyDescent="0.3">
      <c r="A29" s="200"/>
      <c r="B29" s="100" t="s">
        <v>40</v>
      </c>
      <c r="C29" s="1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41"/>
      <c r="R29" s="9">
        <v>10</v>
      </c>
      <c r="S29" s="10">
        <v>64</v>
      </c>
      <c r="T29" s="11">
        <v>6.4</v>
      </c>
      <c r="U29" s="10">
        <v>10</v>
      </c>
      <c r="V29" s="10">
        <v>31</v>
      </c>
      <c r="W29" s="10">
        <v>52</v>
      </c>
      <c r="X29" s="11">
        <v>5.2</v>
      </c>
      <c r="Y29" s="38">
        <v>73.80952380952381</v>
      </c>
      <c r="Z29" s="11">
        <v>4.3998076923076912</v>
      </c>
      <c r="AA29" s="50">
        <v>92.841300000000004</v>
      </c>
      <c r="AB29" s="50">
        <v>0.84281362708484542</v>
      </c>
      <c r="AC29" s="11">
        <v>92.170100000000005</v>
      </c>
      <c r="AD29" s="50">
        <v>4.4300000000000006</v>
      </c>
      <c r="AE29" s="50">
        <v>0.24186773244894991</v>
      </c>
      <c r="AF29" s="11">
        <v>4.6754999999999995</v>
      </c>
      <c r="AG29" s="9">
        <v>9</v>
      </c>
      <c r="AH29" s="10">
        <v>73</v>
      </c>
      <c r="AI29" s="11">
        <v>8.1111111111111107</v>
      </c>
      <c r="AJ29" s="10">
        <v>9</v>
      </c>
      <c r="AK29" s="10">
        <v>37</v>
      </c>
      <c r="AL29" s="10">
        <v>64</v>
      </c>
      <c r="AM29" s="11">
        <f t="shared" si="2"/>
        <v>7.1111111111111107</v>
      </c>
      <c r="AN29" s="38">
        <f t="shared" si="3"/>
        <v>67.272727272727266</v>
      </c>
      <c r="AO29" s="11">
        <v>3.9507812499999995</v>
      </c>
      <c r="AP29" s="11">
        <v>94.007111111111101</v>
      </c>
      <c r="AQ29" s="11">
        <v>1.5356506724040984</v>
      </c>
      <c r="AR29" s="11">
        <v>92.3596</v>
      </c>
      <c r="AS29" s="11">
        <v>3.7922222222222217</v>
      </c>
      <c r="AT29" s="11">
        <v>0.61838100045877853</v>
      </c>
      <c r="AU29" s="12">
        <v>4.5359999999999996</v>
      </c>
    </row>
    <row r="30" spans="1:47" x14ac:dyDescent="0.3">
      <c r="A30" s="200"/>
      <c r="B30" s="100" t="s">
        <v>20</v>
      </c>
      <c r="C30" s="14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41"/>
      <c r="R30" s="9">
        <v>12</v>
      </c>
      <c r="S30" s="10">
        <v>22</v>
      </c>
      <c r="T30" s="11">
        <v>1.8333333333333333</v>
      </c>
      <c r="U30" s="10">
        <v>4</v>
      </c>
      <c r="V30" s="10">
        <v>4</v>
      </c>
      <c r="W30" s="10">
        <v>16</v>
      </c>
      <c r="X30" s="11">
        <v>1.3333333333333333</v>
      </c>
      <c r="Y30" s="38">
        <v>100</v>
      </c>
      <c r="Z30" s="11">
        <v>4.6356249999999992</v>
      </c>
      <c r="AA30" s="50">
        <v>92.358249999999998</v>
      </c>
      <c r="AB30" s="50">
        <v>1.7456066817869418</v>
      </c>
      <c r="AC30" s="11">
        <v>90.707250000000002</v>
      </c>
      <c r="AD30" s="50">
        <v>4.5100000000000007</v>
      </c>
      <c r="AE30" s="50">
        <v>0.54685464247823112</v>
      </c>
      <c r="AF30" s="11">
        <v>5.0075000000000003</v>
      </c>
      <c r="AG30" s="9">
        <v>10</v>
      </c>
      <c r="AH30" s="10">
        <v>48</v>
      </c>
      <c r="AI30" s="11">
        <v>4.8</v>
      </c>
      <c r="AJ30" s="10">
        <v>8</v>
      </c>
      <c r="AK30" s="10">
        <v>26</v>
      </c>
      <c r="AL30" s="10">
        <v>36</v>
      </c>
      <c r="AM30" s="11">
        <f t="shared" si="2"/>
        <v>3.6</v>
      </c>
      <c r="AN30" s="38">
        <f t="shared" si="3"/>
        <v>100</v>
      </c>
      <c r="AO30" s="11">
        <v>4.08</v>
      </c>
      <c r="AP30" s="11">
        <v>92.299374999999998</v>
      </c>
      <c r="AQ30" s="11">
        <v>3.4854955148983624</v>
      </c>
      <c r="AR30" s="11">
        <v>92.786450000000002</v>
      </c>
      <c r="AS30" s="11">
        <v>4.2712500000000002</v>
      </c>
      <c r="AT30" s="11">
        <v>0.4960704965022561</v>
      </c>
      <c r="AU30" s="12">
        <v>4.6055000000000001</v>
      </c>
    </row>
    <row r="31" spans="1:47" s="76" customFormat="1" ht="16.5" customHeight="1" x14ac:dyDescent="0.3">
      <c r="A31" s="200"/>
      <c r="B31" s="99" t="s">
        <v>63</v>
      </c>
      <c r="C31" s="78">
        <v>16</v>
      </c>
      <c r="D31" s="79">
        <v>55</v>
      </c>
      <c r="E31" s="80">
        <v>3.4375</v>
      </c>
      <c r="F31" s="79">
        <v>8</v>
      </c>
      <c r="G31" s="79">
        <v>8</v>
      </c>
      <c r="H31" s="79">
        <v>24</v>
      </c>
      <c r="I31" s="81">
        <f t="shared" si="0"/>
        <v>1.5</v>
      </c>
      <c r="J31" s="82">
        <f t="shared" si="1"/>
        <v>100</v>
      </c>
      <c r="K31" s="81">
        <v>5.7233333333333318</v>
      </c>
      <c r="L31" s="80">
        <v>78.429625000000001</v>
      </c>
      <c r="M31" s="81">
        <v>12.969774795052295</v>
      </c>
      <c r="N31" s="80">
        <v>63.085699999999996</v>
      </c>
      <c r="O31" s="80">
        <v>5.8237500000000013</v>
      </c>
      <c r="P31" s="81">
        <v>0.76788569299081788</v>
      </c>
      <c r="Q31" s="83">
        <v>6.8194999999999997</v>
      </c>
      <c r="R31" s="9">
        <v>12</v>
      </c>
      <c r="S31" s="10">
        <v>33</v>
      </c>
      <c r="T31" s="11">
        <v>2.75</v>
      </c>
      <c r="U31" s="10">
        <v>4</v>
      </c>
      <c r="V31" s="10">
        <v>9</v>
      </c>
      <c r="W31" s="10">
        <v>21</v>
      </c>
      <c r="X31" s="11">
        <v>1.75</v>
      </c>
      <c r="Y31" s="38">
        <v>100</v>
      </c>
      <c r="Z31" s="11">
        <v>5.4009523809523809</v>
      </c>
      <c r="AA31" s="50">
        <v>75.666249999999991</v>
      </c>
      <c r="AB31" s="50">
        <v>11.239015000768593</v>
      </c>
      <c r="AC31" s="11">
        <v>66.767949999999999</v>
      </c>
      <c r="AD31" s="50">
        <v>5.72</v>
      </c>
      <c r="AE31" s="50">
        <v>0.77265775088327515</v>
      </c>
      <c r="AF31" s="11">
        <v>6.3519999999999994</v>
      </c>
      <c r="AG31" s="9">
        <v>11</v>
      </c>
      <c r="AH31" s="10">
        <v>71</v>
      </c>
      <c r="AI31" s="11">
        <v>6.4545454545454541</v>
      </c>
      <c r="AJ31" s="10">
        <v>11</v>
      </c>
      <c r="AK31" s="10">
        <v>25</v>
      </c>
      <c r="AL31" s="10">
        <v>45</v>
      </c>
      <c r="AM31" s="11">
        <f t="shared" si="2"/>
        <v>4.0909090909090908</v>
      </c>
      <c r="AN31" s="38">
        <f t="shared" si="3"/>
        <v>73.529411764705884</v>
      </c>
      <c r="AO31" s="11">
        <v>5.0337777777777779</v>
      </c>
      <c r="AP31" s="11">
        <v>87.900454545454537</v>
      </c>
      <c r="AQ31" s="11">
        <v>3.6260203921514278</v>
      </c>
      <c r="AR31" s="11">
        <v>84.465499999999992</v>
      </c>
      <c r="AS31" s="11">
        <v>4.9636363636363638</v>
      </c>
      <c r="AT31" s="11">
        <v>0.46384309116676031</v>
      </c>
      <c r="AU31" s="12">
        <v>5.2799999999999994</v>
      </c>
    </row>
    <row r="32" spans="1:47" s="76" customFormat="1" ht="16.5" customHeight="1" x14ac:dyDescent="0.3">
      <c r="A32" s="200"/>
      <c r="B32" s="99" t="s">
        <v>64</v>
      </c>
      <c r="C32" s="78">
        <v>9</v>
      </c>
      <c r="D32" s="79">
        <v>21</v>
      </c>
      <c r="E32" s="80">
        <v>2.3333333333333335</v>
      </c>
      <c r="F32" s="79">
        <v>3</v>
      </c>
      <c r="G32" s="79">
        <v>3</v>
      </c>
      <c r="H32" s="79">
        <v>12</v>
      </c>
      <c r="I32" s="81">
        <f t="shared" si="0"/>
        <v>1.3333333333333333</v>
      </c>
      <c r="J32" s="82">
        <f t="shared" si="1"/>
        <v>100</v>
      </c>
      <c r="K32" s="81">
        <v>4.6816666666666675</v>
      </c>
      <c r="L32" s="80">
        <v>88.558666666666667</v>
      </c>
      <c r="M32" s="81">
        <v>5.1231836672999664</v>
      </c>
      <c r="N32" s="80">
        <v>84.357100000000003</v>
      </c>
      <c r="O32" s="80">
        <v>4.9633333333333338</v>
      </c>
      <c r="P32" s="81">
        <v>0.57249939349797885</v>
      </c>
      <c r="Q32" s="83">
        <v>5.4249999999999998</v>
      </c>
      <c r="R32" s="9">
        <v>13</v>
      </c>
      <c r="S32" s="10">
        <v>32</v>
      </c>
      <c r="T32" s="11">
        <v>2.4615384615384617</v>
      </c>
      <c r="U32" s="10">
        <v>7</v>
      </c>
      <c r="V32" s="10">
        <v>8</v>
      </c>
      <c r="W32" s="10">
        <v>21</v>
      </c>
      <c r="X32" s="11">
        <v>1.6153846153846154</v>
      </c>
      <c r="Y32" s="38">
        <v>100</v>
      </c>
      <c r="Z32" s="11">
        <v>4.7371428571428567</v>
      </c>
      <c r="AA32" s="50">
        <v>92.149428571428572</v>
      </c>
      <c r="AB32" s="50">
        <v>1.7330665519443447</v>
      </c>
      <c r="AC32" s="11">
        <v>90.375799999999998</v>
      </c>
      <c r="AD32" s="50">
        <v>4.6000000000000005</v>
      </c>
      <c r="AE32" s="50">
        <v>0.47773274058679532</v>
      </c>
      <c r="AF32" s="11">
        <v>4.9209999999999994</v>
      </c>
      <c r="AG32" s="9">
        <v>11</v>
      </c>
      <c r="AH32" s="10">
        <v>66</v>
      </c>
      <c r="AI32" s="11">
        <v>6</v>
      </c>
      <c r="AJ32" s="10">
        <v>11</v>
      </c>
      <c r="AK32" s="10">
        <v>15</v>
      </c>
      <c r="AL32" s="10">
        <v>35</v>
      </c>
      <c r="AM32" s="11">
        <f t="shared" si="2"/>
        <v>3.1818181818181817</v>
      </c>
      <c r="AN32" s="38">
        <f t="shared" si="3"/>
        <v>62.5</v>
      </c>
      <c r="AO32" s="11">
        <v>4.5019999999999998</v>
      </c>
      <c r="AP32" s="11">
        <v>92.434818181818187</v>
      </c>
      <c r="AQ32" s="11">
        <v>1.7152110295917231</v>
      </c>
      <c r="AR32" s="11">
        <v>90.718999999999994</v>
      </c>
      <c r="AS32" s="11">
        <v>4.3918181818181816</v>
      </c>
      <c r="AT32" s="11">
        <v>0.55477789465397198</v>
      </c>
      <c r="AU32" s="12">
        <v>4.9949999999999992</v>
      </c>
    </row>
    <row r="33" spans="1:47" s="76" customFormat="1" ht="16.5" customHeight="1" x14ac:dyDescent="0.3">
      <c r="A33" s="200"/>
      <c r="B33" s="99" t="s">
        <v>65</v>
      </c>
      <c r="C33" s="78">
        <v>12</v>
      </c>
      <c r="D33" s="79">
        <v>34</v>
      </c>
      <c r="E33" s="80">
        <v>2.8333333333333335</v>
      </c>
      <c r="F33" s="79">
        <v>4</v>
      </c>
      <c r="G33" s="79">
        <v>7</v>
      </c>
      <c r="H33" s="79">
        <v>19</v>
      </c>
      <c r="I33" s="81">
        <f t="shared" si="0"/>
        <v>1.5833333333333333</v>
      </c>
      <c r="J33" s="82">
        <f t="shared" si="1"/>
        <v>100</v>
      </c>
      <c r="K33" s="81">
        <v>4.3836842105263143</v>
      </c>
      <c r="L33" s="80">
        <v>86.182249999999996</v>
      </c>
      <c r="M33" s="81">
        <v>2.8677131459579899</v>
      </c>
      <c r="N33" s="80">
        <v>83.359700000000004</v>
      </c>
      <c r="O33" s="80">
        <v>5.39</v>
      </c>
      <c r="P33" s="81">
        <v>0.29000000000000509</v>
      </c>
      <c r="Q33" s="83">
        <v>5.6280000000000001</v>
      </c>
      <c r="R33" s="9">
        <v>17</v>
      </c>
      <c r="S33" s="10">
        <v>51</v>
      </c>
      <c r="T33" s="11">
        <v>3</v>
      </c>
      <c r="U33" s="10">
        <v>7</v>
      </c>
      <c r="V33" s="10">
        <v>7</v>
      </c>
      <c r="W33" s="10">
        <v>24</v>
      </c>
      <c r="X33" s="11">
        <v>1.411764705882353</v>
      </c>
      <c r="Y33" s="38">
        <v>100</v>
      </c>
      <c r="Z33" s="11">
        <v>4.7099999999999991</v>
      </c>
      <c r="AA33" s="50">
        <v>91.832571428571427</v>
      </c>
      <c r="AB33" s="50">
        <v>4.6700771133783343</v>
      </c>
      <c r="AC33" s="11">
        <v>88.369600000000005</v>
      </c>
      <c r="AD33" s="50">
        <v>4.0214285714285714</v>
      </c>
      <c r="AE33" s="50">
        <v>0.92818453478403151</v>
      </c>
      <c r="AF33" s="11">
        <v>4.9429999999999996</v>
      </c>
      <c r="AG33" s="9">
        <v>15</v>
      </c>
      <c r="AH33" s="10">
        <v>70</v>
      </c>
      <c r="AI33" s="11">
        <v>4.666666666666667</v>
      </c>
      <c r="AJ33" s="10">
        <v>10</v>
      </c>
      <c r="AK33" s="10">
        <v>21</v>
      </c>
      <c r="AL33" s="10">
        <v>36</v>
      </c>
      <c r="AM33" s="11">
        <f t="shared" si="2"/>
        <v>2.4</v>
      </c>
      <c r="AN33" s="38">
        <f t="shared" si="3"/>
        <v>100</v>
      </c>
      <c r="AO33" s="11">
        <v>4.1111111111111107</v>
      </c>
      <c r="AP33" s="11">
        <v>89.185100000000006</v>
      </c>
      <c r="AQ33" s="11">
        <v>6.0321753696323492</v>
      </c>
      <c r="AR33" s="11">
        <v>85.525999999999996</v>
      </c>
      <c r="AS33" s="11">
        <v>4.5040000000000004</v>
      </c>
      <c r="AT33" s="11">
        <v>0.69288094215383811</v>
      </c>
      <c r="AU33" s="12">
        <v>5.1609999999999996</v>
      </c>
    </row>
    <row r="34" spans="1:47" s="76" customFormat="1" ht="16.5" customHeight="1" x14ac:dyDescent="0.3">
      <c r="A34" s="200"/>
      <c r="B34" s="99" t="s">
        <v>66</v>
      </c>
      <c r="C34" s="78">
        <v>150</v>
      </c>
      <c r="D34" s="79">
        <v>360</v>
      </c>
      <c r="E34" s="80">
        <v>2.4</v>
      </c>
      <c r="F34" s="79">
        <v>120</v>
      </c>
      <c r="G34" s="79">
        <v>82</v>
      </c>
      <c r="H34" s="79">
        <v>232</v>
      </c>
      <c r="I34" s="81">
        <f t="shared" si="0"/>
        <v>1.5466666666666666</v>
      </c>
      <c r="J34" s="82">
        <f t="shared" si="1"/>
        <v>100</v>
      </c>
      <c r="K34" s="81">
        <v>5.2766379310344824</v>
      </c>
      <c r="L34" s="80">
        <v>84.632291666666731</v>
      </c>
      <c r="M34" s="81">
        <v>9.1811967569549111</v>
      </c>
      <c r="N34" s="80">
        <v>78.201400000000007</v>
      </c>
      <c r="O34" s="80">
        <v>5.3911666666666678</v>
      </c>
      <c r="P34" s="81">
        <v>0.72006965326664296</v>
      </c>
      <c r="Q34" s="83">
        <v>6.0030000000000001</v>
      </c>
      <c r="R34" s="93"/>
      <c r="S34" s="94"/>
      <c r="T34" s="95"/>
      <c r="U34" s="94"/>
      <c r="V34" s="94"/>
      <c r="W34" s="94"/>
      <c r="X34" s="94"/>
      <c r="Y34" s="94"/>
      <c r="Z34" s="94"/>
      <c r="AA34" s="95"/>
      <c r="AB34" s="94"/>
      <c r="AC34" s="96"/>
      <c r="AD34" s="95"/>
      <c r="AE34" s="94"/>
      <c r="AF34" s="96"/>
      <c r="AG34" s="93"/>
      <c r="AH34" s="94"/>
      <c r="AI34" s="95"/>
      <c r="AJ34" s="94"/>
      <c r="AK34" s="94"/>
      <c r="AL34" s="94"/>
      <c r="AM34" s="94"/>
      <c r="AN34" s="94"/>
      <c r="AO34" s="94"/>
      <c r="AP34" s="95"/>
      <c r="AQ34" s="94"/>
      <c r="AR34" s="96"/>
      <c r="AS34" s="95"/>
      <c r="AT34" s="94"/>
      <c r="AU34" s="98"/>
    </row>
    <row r="35" spans="1:47" s="76" customFormat="1" ht="16.5" customHeight="1" thickBot="1" x14ac:dyDescent="0.35">
      <c r="A35" s="200"/>
      <c r="B35" s="105" t="s">
        <v>67</v>
      </c>
      <c r="C35" s="137">
        <v>538</v>
      </c>
      <c r="D35" s="106">
        <v>1978</v>
      </c>
      <c r="E35" s="107">
        <v>3.6765799256505578</v>
      </c>
      <c r="F35" s="106">
        <v>414</v>
      </c>
      <c r="G35" s="106">
        <v>495</v>
      </c>
      <c r="H35" s="106">
        <v>1297</v>
      </c>
      <c r="I35" s="108">
        <f t="shared" si="0"/>
        <v>2.4107806691449816</v>
      </c>
      <c r="J35" s="131">
        <f t="shared" si="1"/>
        <v>65.217391304347828</v>
      </c>
      <c r="K35" s="108">
        <v>4.8259059367771719</v>
      </c>
      <c r="L35" s="107">
        <v>87.882620772946979</v>
      </c>
      <c r="M35" s="108">
        <v>8.1845638065807211</v>
      </c>
      <c r="N35" s="109"/>
      <c r="O35" s="107">
        <v>4.9394444444444447</v>
      </c>
      <c r="P35" s="108">
        <v>0.89520107074248123</v>
      </c>
      <c r="Q35" s="110"/>
      <c r="R35" s="33">
        <v>466</v>
      </c>
      <c r="S35" s="19">
        <v>1735</v>
      </c>
      <c r="T35" s="20">
        <v>3.7231759656652361</v>
      </c>
      <c r="U35" s="19">
        <v>369</v>
      </c>
      <c r="V35" s="19">
        <v>650</v>
      </c>
      <c r="W35" s="19">
        <v>1205</v>
      </c>
      <c r="X35" s="20">
        <v>2.5858369098712446</v>
      </c>
      <c r="Y35" s="40">
        <v>87.956698240866032</v>
      </c>
      <c r="Z35" s="20">
        <v>4.6209875518672154</v>
      </c>
      <c r="AA35" s="59">
        <v>89.99998373983739</v>
      </c>
      <c r="AB35" s="59">
        <v>5.8366906700675045</v>
      </c>
      <c r="AC35" s="28"/>
      <c r="AD35" s="59">
        <v>4.6898102981029792</v>
      </c>
      <c r="AE35" s="59">
        <v>0.79709684395770442</v>
      </c>
      <c r="AF35" s="28"/>
      <c r="AG35" s="33">
        <v>399</v>
      </c>
      <c r="AH35" s="19">
        <v>2137</v>
      </c>
      <c r="AI35" s="20">
        <v>5.355889724310777</v>
      </c>
      <c r="AJ35" s="19">
        <v>341</v>
      </c>
      <c r="AK35" s="19">
        <v>841</v>
      </c>
      <c r="AL35" s="19">
        <v>1609</v>
      </c>
      <c r="AM35" s="20">
        <f>AL35/AG35</f>
        <v>4.0325814536340854</v>
      </c>
      <c r="AN35" s="40">
        <f>AK35/(AL35-AG35)*100</f>
        <v>69.504132231404952</v>
      </c>
      <c r="AO35" s="20">
        <v>4.0745618396519578</v>
      </c>
      <c r="AP35" s="20">
        <v>91.817832844574724</v>
      </c>
      <c r="AQ35" s="20">
        <v>5.4222098955088613</v>
      </c>
      <c r="AR35" s="28"/>
      <c r="AS35" s="20">
        <v>4.1201173020527859</v>
      </c>
      <c r="AT35" s="20">
        <v>0.81024487683277857</v>
      </c>
      <c r="AU35" s="29"/>
    </row>
    <row r="36" spans="1:47" s="76" customFormat="1" ht="16.5" customHeight="1" x14ac:dyDescent="0.3">
      <c r="A36" s="201" t="s">
        <v>69</v>
      </c>
      <c r="B36" s="132" t="s">
        <v>54</v>
      </c>
      <c r="C36" s="138">
        <v>20</v>
      </c>
      <c r="D36" s="112">
        <v>76</v>
      </c>
      <c r="E36" s="113">
        <v>3.8</v>
      </c>
      <c r="F36" s="112">
        <v>19</v>
      </c>
      <c r="G36" s="112">
        <v>11</v>
      </c>
      <c r="H36" s="112">
        <v>48</v>
      </c>
      <c r="I36" s="117">
        <f>H36/C36</f>
        <v>2.4</v>
      </c>
      <c r="J36" s="133">
        <f t="shared" si="1"/>
        <v>39.285714285714285</v>
      </c>
      <c r="K36" s="117">
        <v>5.0677083333333339</v>
      </c>
      <c r="L36" s="113">
        <v>91.821263157894748</v>
      </c>
      <c r="M36" s="117">
        <v>2.4688759181391688</v>
      </c>
      <c r="N36" s="113">
        <v>89.954700000000003</v>
      </c>
      <c r="O36" s="113">
        <v>4.6147368421052626</v>
      </c>
      <c r="P36" s="119">
        <v>0.69444690919846197</v>
      </c>
      <c r="Q36" s="134">
        <v>5.0949999999999989</v>
      </c>
      <c r="R36" s="93"/>
      <c r="S36" s="94"/>
      <c r="T36" s="95"/>
      <c r="U36" s="94"/>
      <c r="V36" s="94"/>
      <c r="W36" s="94"/>
      <c r="X36" s="94"/>
      <c r="Y36" s="94"/>
      <c r="Z36" s="94"/>
      <c r="AA36" s="95"/>
      <c r="AB36" s="94"/>
      <c r="AC36" s="96"/>
      <c r="AD36" s="95"/>
      <c r="AE36" s="94"/>
      <c r="AF36" s="96"/>
      <c r="AG36" s="93"/>
      <c r="AH36" s="94"/>
      <c r="AI36" s="95"/>
      <c r="AJ36" s="94"/>
      <c r="AK36" s="94"/>
      <c r="AL36" s="94"/>
      <c r="AM36" s="94"/>
      <c r="AN36" s="94"/>
      <c r="AO36" s="94"/>
      <c r="AP36" s="95"/>
      <c r="AQ36" s="94"/>
      <c r="AR36" s="96"/>
      <c r="AS36" s="95"/>
      <c r="AT36" s="94"/>
      <c r="AU36" s="98"/>
    </row>
    <row r="37" spans="1:47" x14ac:dyDescent="0.3">
      <c r="A37" s="200"/>
      <c r="B37" s="102" t="s">
        <v>14</v>
      </c>
      <c r="C37" s="1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41"/>
      <c r="R37" s="9">
        <v>8</v>
      </c>
      <c r="S37" s="10">
        <v>27</v>
      </c>
      <c r="T37" s="11">
        <v>3.375</v>
      </c>
      <c r="U37" s="10">
        <v>8</v>
      </c>
      <c r="V37" s="10">
        <v>8</v>
      </c>
      <c r="W37" s="10">
        <v>20</v>
      </c>
      <c r="X37" s="11">
        <v>2.5</v>
      </c>
      <c r="Y37" s="38">
        <v>66.666666666666657</v>
      </c>
      <c r="Z37" s="11">
        <v>5.113999999999999</v>
      </c>
      <c r="AA37" s="50">
        <v>88.8005</v>
      </c>
      <c r="AB37" s="50">
        <v>3.9754476477499403</v>
      </c>
      <c r="AC37" s="50">
        <v>84.939599999999999</v>
      </c>
      <c r="AD37" s="50">
        <v>4.9349999999999996</v>
      </c>
      <c r="AE37" s="50">
        <v>0.4807806152498279</v>
      </c>
      <c r="AF37" s="11">
        <v>5.5979999999999999</v>
      </c>
      <c r="AG37" s="9">
        <v>4</v>
      </c>
      <c r="AH37" s="10">
        <v>26</v>
      </c>
      <c r="AI37" s="11">
        <v>6.5</v>
      </c>
      <c r="AJ37" s="10">
        <v>4</v>
      </c>
      <c r="AK37" s="10">
        <v>5</v>
      </c>
      <c r="AL37" s="10">
        <v>20</v>
      </c>
      <c r="AM37" s="11">
        <f>AL37/AG37</f>
        <v>5</v>
      </c>
      <c r="AN37" s="38">
        <f>AK37/(AL37-AG37)*100</f>
        <v>31.25</v>
      </c>
      <c r="AO37" s="11">
        <v>4.2345000000000015</v>
      </c>
      <c r="AP37" s="11">
        <v>94.035249999999991</v>
      </c>
      <c r="AQ37" s="11">
        <v>0.26634036025702251</v>
      </c>
      <c r="AR37" s="11">
        <v>93.839150000000004</v>
      </c>
      <c r="AS37" s="11">
        <v>3.8475000000000001</v>
      </c>
      <c r="AT37" s="11">
        <v>0.29380052756930208</v>
      </c>
      <c r="AU37" s="12">
        <v>4.0705</v>
      </c>
    </row>
    <row r="38" spans="1:47" x14ac:dyDescent="0.3">
      <c r="A38" s="200"/>
      <c r="B38" s="102" t="s">
        <v>16</v>
      </c>
      <c r="C38" s="14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41"/>
      <c r="R38" s="9">
        <v>8</v>
      </c>
      <c r="S38" s="10">
        <v>27</v>
      </c>
      <c r="T38" s="11">
        <v>3.375</v>
      </c>
      <c r="U38" s="10">
        <v>7</v>
      </c>
      <c r="V38" s="10">
        <v>10</v>
      </c>
      <c r="W38" s="10">
        <v>18</v>
      </c>
      <c r="X38" s="11">
        <v>2.25</v>
      </c>
      <c r="Y38" s="38">
        <v>100</v>
      </c>
      <c r="Z38" s="11">
        <v>5.4877777777777776</v>
      </c>
      <c r="AA38" s="50">
        <v>79.546571428571411</v>
      </c>
      <c r="AB38" s="50">
        <v>5.1194715647263598</v>
      </c>
      <c r="AC38" s="50">
        <v>76.215099999999993</v>
      </c>
      <c r="AD38" s="50">
        <v>5.7642857142857142</v>
      </c>
      <c r="AE38" s="50">
        <v>0.32858385069685442</v>
      </c>
      <c r="AF38" s="11">
        <v>6.0019999999999998</v>
      </c>
      <c r="AG38" s="9">
        <v>4</v>
      </c>
      <c r="AH38" s="10">
        <v>20</v>
      </c>
      <c r="AI38" s="11">
        <v>5</v>
      </c>
      <c r="AJ38" s="10">
        <v>4</v>
      </c>
      <c r="AK38" s="10">
        <v>12</v>
      </c>
      <c r="AL38" s="10">
        <v>16</v>
      </c>
      <c r="AM38" s="11">
        <f>AL38/AG38</f>
        <v>4</v>
      </c>
      <c r="AN38" s="38">
        <f>AK38/(AL38-AG38)*100</f>
        <v>100</v>
      </c>
      <c r="AO38" s="11">
        <v>4.4406249999999989</v>
      </c>
      <c r="AP38" s="11">
        <v>89.63900000000001</v>
      </c>
      <c r="AQ38" s="11">
        <v>3.8606698253021827</v>
      </c>
      <c r="AR38" s="11">
        <v>86.244250000000008</v>
      </c>
      <c r="AS38" s="11">
        <v>4.915</v>
      </c>
      <c r="AT38" s="11">
        <v>0.4199107047932954</v>
      </c>
      <c r="AU38" s="12">
        <v>5.2975000000000003</v>
      </c>
    </row>
    <row r="39" spans="1:47" x14ac:dyDescent="0.3">
      <c r="A39" s="200"/>
      <c r="B39" s="102" t="s">
        <v>19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41"/>
      <c r="R39" s="9">
        <v>6</v>
      </c>
      <c r="S39" s="10">
        <v>15</v>
      </c>
      <c r="T39" s="11">
        <v>2.5</v>
      </c>
      <c r="U39" s="10">
        <v>3</v>
      </c>
      <c r="V39" s="10">
        <v>4</v>
      </c>
      <c r="W39" s="10">
        <v>10</v>
      </c>
      <c r="X39" s="11">
        <v>1.6666666666666667</v>
      </c>
      <c r="Y39" s="38">
        <v>100</v>
      </c>
      <c r="Z39" s="11">
        <v>4.8469999999999995</v>
      </c>
      <c r="AA39" s="50">
        <v>90.553666666666672</v>
      </c>
      <c r="AB39" s="50">
        <v>4.6513440590389905</v>
      </c>
      <c r="AC39" s="50">
        <v>86.715900000000005</v>
      </c>
      <c r="AD39" s="50">
        <v>4.57</v>
      </c>
      <c r="AE39" s="50">
        <v>0.7555571895407146</v>
      </c>
      <c r="AF39" s="11">
        <v>5.2190000000000003</v>
      </c>
      <c r="AG39" s="9">
        <v>3</v>
      </c>
      <c r="AH39" s="10">
        <v>12</v>
      </c>
      <c r="AI39" s="11">
        <v>4</v>
      </c>
      <c r="AJ39" s="10">
        <v>2</v>
      </c>
      <c r="AK39" s="10">
        <v>7</v>
      </c>
      <c r="AL39" s="10">
        <v>10</v>
      </c>
      <c r="AM39" s="11">
        <f>AL39/AG39</f>
        <v>3.3333333333333335</v>
      </c>
      <c r="AN39" s="38">
        <f>AK39/(AL39-AG39)*100</f>
        <v>100</v>
      </c>
      <c r="AO39" s="11">
        <v>4.4470000000000001</v>
      </c>
      <c r="AP39" s="11">
        <v>87.366500000000002</v>
      </c>
      <c r="AQ39" s="11">
        <v>4.3024999999997782</v>
      </c>
      <c r="AR39" s="11">
        <v>84.354749999999996</v>
      </c>
      <c r="AS39" s="11">
        <v>4.99</v>
      </c>
      <c r="AT39" s="11">
        <v>0.48999999999999816</v>
      </c>
      <c r="AU39" s="12">
        <v>5.3330000000000002</v>
      </c>
    </row>
    <row r="40" spans="1:47" s="76" customFormat="1" ht="16.5" customHeight="1" x14ac:dyDescent="0.3">
      <c r="A40" s="200"/>
      <c r="B40" s="101" t="s">
        <v>55</v>
      </c>
      <c r="C40" s="78">
        <v>31</v>
      </c>
      <c r="D40" s="79">
        <v>131</v>
      </c>
      <c r="E40" s="80">
        <v>4.225806451612903</v>
      </c>
      <c r="F40" s="79">
        <v>29</v>
      </c>
      <c r="G40" s="79">
        <v>30</v>
      </c>
      <c r="H40" s="79">
        <v>97</v>
      </c>
      <c r="I40" s="81">
        <f t="shared" ref="I40:I45" si="4">H40/C40</f>
        <v>3.129032258064516</v>
      </c>
      <c r="J40" s="82">
        <f t="shared" si="1"/>
        <v>45.454545454545453</v>
      </c>
      <c r="K40" s="81">
        <v>5.0656701030927831</v>
      </c>
      <c r="L40" s="80">
        <v>90.915620689655185</v>
      </c>
      <c r="M40" s="81">
        <v>1.3146770526158293</v>
      </c>
      <c r="N40" s="80">
        <v>89.0124</v>
      </c>
      <c r="O40" s="80">
        <v>4.9258620689655181</v>
      </c>
      <c r="P40" s="86">
        <v>0.25474148141662151</v>
      </c>
      <c r="Q40" s="83">
        <v>5.2679999999999998</v>
      </c>
      <c r="R40" s="93"/>
      <c r="S40" s="94"/>
      <c r="T40" s="95"/>
      <c r="U40" s="94"/>
      <c r="V40" s="94"/>
      <c r="W40" s="94"/>
      <c r="X40" s="94"/>
      <c r="Y40" s="94"/>
      <c r="Z40" s="94"/>
      <c r="AA40" s="95"/>
      <c r="AB40" s="94"/>
      <c r="AC40" s="96"/>
      <c r="AD40" s="95"/>
      <c r="AE40" s="94"/>
      <c r="AF40" s="96"/>
      <c r="AG40" s="93"/>
      <c r="AH40" s="94"/>
      <c r="AI40" s="95"/>
      <c r="AJ40" s="94"/>
      <c r="AK40" s="94"/>
      <c r="AL40" s="94"/>
      <c r="AM40" s="94"/>
      <c r="AN40" s="94"/>
      <c r="AO40" s="94"/>
      <c r="AP40" s="95"/>
      <c r="AQ40" s="94"/>
      <c r="AR40" s="96"/>
      <c r="AS40" s="95"/>
      <c r="AT40" s="94"/>
      <c r="AU40" s="98"/>
    </row>
    <row r="41" spans="1:47" x14ac:dyDescent="0.3">
      <c r="A41" s="200"/>
      <c r="B41" s="103" t="s">
        <v>12</v>
      </c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41"/>
      <c r="R41" s="21">
        <v>14</v>
      </c>
      <c r="S41" s="22">
        <v>52</v>
      </c>
      <c r="T41" s="23">
        <v>3.7142857142857144</v>
      </c>
      <c r="U41" s="22">
        <v>13</v>
      </c>
      <c r="V41" s="22">
        <v>30</v>
      </c>
      <c r="W41" s="22">
        <v>44</v>
      </c>
      <c r="X41" s="23">
        <v>3.1428571428571428</v>
      </c>
      <c r="Y41" s="44">
        <v>100</v>
      </c>
      <c r="Z41" s="23">
        <v>4.5127272727272727</v>
      </c>
      <c r="AA41" s="61">
        <v>89.308461538461543</v>
      </c>
      <c r="AB41" s="61">
        <v>5.4589304900020004</v>
      </c>
      <c r="AC41" s="61">
        <v>83.644599999999997</v>
      </c>
      <c r="AD41" s="61">
        <v>4.6730769230769234</v>
      </c>
      <c r="AE41" s="61">
        <v>0.90223129062072926</v>
      </c>
      <c r="AF41" s="23">
        <v>5.6379999999999999</v>
      </c>
      <c r="AG41" s="21">
        <v>7</v>
      </c>
      <c r="AH41" s="22">
        <v>47</v>
      </c>
      <c r="AI41" s="23">
        <v>6.7142857142857144</v>
      </c>
      <c r="AJ41" s="22">
        <v>7</v>
      </c>
      <c r="AK41" s="22">
        <v>25</v>
      </c>
      <c r="AL41" s="22">
        <v>41</v>
      </c>
      <c r="AM41" s="23">
        <f>AL41/AG41</f>
        <v>5.8571428571428568</v>
      </c>
      <c r="AN41" s="44">
        <f>AK41/(AL41-AG41)*100</f>
        <v>73.529411764705884</v>
      </c>
      <c r="AO41" s="23">
        <v>4.0246341463414641</v>
      </c>
      <c r="AP41" s="23">
        <v>93.620285714285728</v>
      </c>
      <c r="AQ41" s="23">
        <v>1.0621477855577426</v>
      </c>
      <c r="AR41" s="23">
        <v>92.759999999999991</v>
      </c>
      <c r="AS41" s="23">
        <v>3.9042857142857144</v>
      </c>
      <c r="AT41" s="23">
        <v>0.31994897552386758</v>
      </c>
      <c r="AU41" s="43">
        <v>4.1070000000000002</v>
      </c>
    </row>
    <row r="42" spans="1:47" x14ac:dyDescent="0.3">
      <c r="A42" s="200"/>
      <c r="B42" s="102" t="s">
        <v>13</v>
      </c>
      <c r="C42" s="14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41"/>
      <c r="R42" s="14"/>
      <c r="S42" s="15"/>
      <c r="T42" s="16"/>
      <c r="U42" s="15"/>
      <c r="V42" s="15"/>
      <c r="W42" s="15"/>
      <c r="X42" s="16"/>
      <c r="Y42" s="39"/>
      <c r="Z42" s="16"/>
      <c r="AA42" s="53"/>
      <c r="AB42" s="53"/>
      <c r="AC42" s="16"/>
      <c r="AD42" s="53"/>
      <c r="AE42" s="53"/>
      <c r="AF42" s="16"/>
      <c r="AG42" s="9">
        <v>3</v>
      </c>
      <c r="AH42" s="10">
        <v>15</v>
      </c>
      <c r="AI42" s="11">
        <v>5</v>
      </c>
      <c r="AJ42" s="10">
        <v>2</v>
      </c>
      <c r="AK42" s="10">
        <v>7</v>
      </c>
      <c r="AL42" s="10">
        <v>10</v>
      </c>
      <c r="AM42" s="11">
        <f>AL42/AG42</f>
        <v>3.3333333333333335</v>
      </c>
      <c r="AN42" s="38">
        <f>AK42/(AL42-AG42)*100</f>
        <v>100</v>
      </c>
      <c r="AO42" s="11">
        <v>4.3950000000000014</v>
      </c>
      <c r="AP42" s="11">
        <v>87.262500000000003</v>
      </c>
      <c r="AQ42" s="11">
        <v>2.8694999999999484</v>
      </c>
      <c r="AR42" s="11">
        <v>85.25385</v>
      </c>
      <c r="AS42" s="11">
        <v>4.71</v>
      </c>
      <c r="AT42" s="11">
        <v>0.17000000000000043</v>
      </c>
      <c r="AU42" s="12">
        <v>4.8289999999999997</v>
      </c>
    </row>
    <row r="43" spans="1:47" x14ac:dyDescent="0.3">
      <c r="A43" s="200"/>
      <c r="B43" s="102" t="s">
        <v>48</v>
      </c>
      <c r="C43" s="1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41"/>
      <c r="R43" s="9">
        <v>21</v>
      </c>
      <c r="S43" s="10">
        <v>71</v>
      </c>
      <c r="T43" s="11">
        <v>3.3809523809523809</v>
      </c>
      <c r="U43" s="10">
        <v>21</v>
      </c>
      <c r="V43" s="10">
        <v>24</v>
      </c>
      <c r="W43" s="10">
        <v>49</v>
      </c>
      <c r="X43" s="11">
        <v>2.3333333333333335</v>
      </c>
      <c r="Y43" s="38">
        <v>85.714285714285708</v>
      </c>
      <c r="Z43" s="11">
        <v>5.2577551020408171</v>
      </c>
      <c r="AA43" s="50">
        <v>86.341952380952364</v>
      </c>
      <c r="AB43" s="50">
        <v>5.0372456993710788</v>
      </c>
      <c r="AC43" s="50">
        <v>82.701999999999998</v>
      </c>
      <c r="AD43" s="50">
        <v>5.3633333333333324</v>
      </c>
      <c r="AE43" s="50">
        <v>0.39370442543002776</v>
      </c>
      <c r="AF43" s="11">
        <v>5.8</v>
      </c>
      <c r="AG43" s="9">
        <v>10</v>
      </c>
      <c r="AH43" s="10">
        <v>42</v>
      </c>
      <c r="AI43" s="11">
        <v>4.2</v>
      </c>
      <c r="AJ43" s="10">
        <v>9</v>
      </c>
      <c r="AK43" s="10">
        <v>18</v>
      </c>
      <c r="AL43" s="10">
        <v>28</v>
      </c>
      <c r="AM43" s="11">
        <f>AL43/AG43</f>
        <v>2.8</v>
      </c>
      <c r="AN43" s="38">
        <f>AK43/(AL43-AG43)*100</f>
        <v>100</v>
      </c>
      <c r="AO43" s="11">
        <v>4.3542857142857132</v>
      </c>
      <c r="AP43" s="11">
        <v>87.731444444444435</v>
      </c>
      <c r="AQ43" s="11">
        <v>6.5296435518013061</v>
      </c>
      <c r="AR43" s="11">
        <v>82.841800000000006</v>
      </c>
      <c r="AS43" s="11">
        <v>4.6211111111111114</v>
      </c>
      <c r="AT43" s="11">
        <v>0.62996374577244574</v>
      </c>
      <c r="AU43" s="12">
        <v>5.266</v>
      </c>
    </row>
    <row r="44" spans="1:47" s="76" customFormat="1" ht="16.5" customHeight="1" x14ac:dyDescent="0.3">
      <c r="A44" s="200"/>
      <c r="B44" s="101" t="s">
        <v>56</v>
      </c>
      <c r="C44" s="78">
        <v>9</v>
      </c>
      <c r="D44" s="79">
        <v>27</v>
      </c>
      <c r="E44" s="80">
        <v>3</v>
      </c>
      <c r="F44" s="79">
        <v>3</v>
      </c>
      <c r="G44" s="90" t="s">
        <v>51</v>
      </c>
      <c r="H44" s="79">
        <v>7</v>
      </c>
      <c r="I44" s="81">
        <f t="shared" si="4"/>
        <v>0.77777777777777779</v>
      </c>
      <c r="J44" s="91" t="s">
        <v>51</v>
      </c>
      <c r="K44" s="81">
        <v>5.3785714285714281</v>
      </c>
      <c r="L44" s="80">
        <v>80.804999999999993</v>
      </c>
      <c r="M44" s="81">
        <v>10.749737020039156</v>
      </c>
      <c r="N44" s="80">
        <v>71.826099999999997</v>
      </c>
      <c r="O44" s="80">
        <v>5.4866666666666672</v>
      </c>
      <c r="P44" s="86">
        <v>0.82285411154644383</v>
      </c>
      <c r="Q44" s="83">
        <v>6.1340000000000003</v>
      </c>
      <c r="R44" s="9">
        <v>9</v>
      </c>
      <c r="S44" s="10">
        <v>30</v>
      </c>
      <c r="T44" s="11">
        <v>3.3333333333333335</v>
      </c>
      <c r="U44" s="10">
        <v>6</v>
      </c>
      <c r="V44" s="10">
        <v>4</v>
      </c>
      <c r="W44" s="10">
        <v>13</v>
      </c>
      <c r="X44" s="11">
        <v>1.4444444444444444</v>
      </c>
      <c r="Y44" s="38">
        <v>100</v>
      </c>
      <c r="Z44" s="11">
        <v>4.563076923076923</v>
      </c>
      <c r="AA44" s="50">
        <v>82.945000000000007</v>
      </c>
      <c r="AB44" s="50">
        <v>11.805532671873184</v>
      </c>
      <c r="AC44" s="50">
        <v>68.362499999999997</v>
      </c>
      <c r="AD44" s="50">
        <v>5.25</v>
      </c>
      <c r="AE44" s="50">
        <v>0.89507913989024623</v>
      </c>
      <c r="AF44" s="11">
        <v>6.415</v>
      </c>
      <c r="AG44" s="14"/>
      <c r="AH44" s="15"/>
      <c r="AI44" s="16"/>
      <c r="AJ44" s="15"/>
      <c r="AK44" s="15"/>
      <c r="AL44" s="15"/>
      <c r="AM44" s="16"/>
      <c r="AN44" s="39"/>
      <c r="AO44" s="16"/>
      <c r="AP44" s="16"/>
      <c r="AQ44" s="16"/>
      <c r="AR44" s="16"/>
      <c r="AS44" s="16"/>
      <c r="AT44" s="16"/>
      <c r="AU44" s="17"/>
    </row>
    <row r="45" spans="1:47" s="76" customFormat="1" ht="16.5" customHeight="1" x14ac:dyDescent="0.3">
      <c r="A45" s="200"/>
      <c r="B45" s="101" t="s">
        <v>57</v>
      </c>
      <c r="C45" s="78">
        <v>8</v>
      </c>
      <c r="D45" s="79">
        <v>21</v>
      </c>
      <c r="E45" s="80">
        <v>2.625</v>
      </c>
      <c r="F45" s="79">
        <v>7</v>
      </c>
      <c r="G45" s="79">
        <v>5</v>
      </c>
      <c r="H45" s="79">
        <v>13</v>
      </c>
      <c r="I45" s="81">
        <f t="shared" si="4"/>
        <v>1.625</v>
      </c>
      <c r="J45" s="82">
        <f t="shared" si="1"/>
        <v>100</v>
      </c>
      <c r="K45" s="81">
        <v>5.4169230769230783</v>
      </c>
      <c r="L45" s="80">
        <v>82.423142857142849</v>
      </c>
      <c r="M45" s="81">
        <v>6.1271636511655467</v>
      </c>
      <c r="N45" s="80">
        <v>75.822000000000003</v>
      </c>
      <c r="O45" s="80">
        <v>5.6557142857142866</v>
      </c>
      <c r="P45" s="86">
        <v>0.44564101961930808</v>
      </c>
      <c r="Q45" s="83">
        <v>6.0789999999999997</v>
      </c>
      <c r="R45" s="93"/>
      <c r="S45" s="94"/>
      <c r="T45" s="95"/>
      <c r="U45" s="94"/>
      <c r="V45" s="94"/>
      <c r="W45" s="94"/>
      <c r="X45" s="94"/>
      <c r="Y45" s="94"/>
      <c r="Z45" s="94"/>
      <c r="AA45" s="95"/>
      <c r="AB45" s="94"/>
      <c r="AC45" s="96"/>
      <c r="AD45" s="95"/>
      <c r="AE45" s="94"/>
      <c r="AF45" s="96"/>
      <c r="AG45" s="93"/>
      <c r="AH45" s="94"/>
      <c r="AI45" s="95"/>
      <c r="AJ45" s="94"/>
      <c r="AK45" s="94"/>
      <c r="AL45" s="94"/>
      <c r="AM45" s="94"/>
      <c r="AN45" s="94"/>
      <c r="AO45" s="94"/>
      <c r="AP45" s="95"/>
      <c r="AQ45" s="94"/>
      <c r="AR45" s="96"/>
      <c r="AS45" s="95"/>
      <c r="AT45" s="94"/>
      <c r="AU45" s="98"/>
    </row>
    <row r="46" spans="1:47" x14ac:dyDescent="0.3">
      <c r="A46" s="200"/>
      <c r="B46" s="102" t="s">
        <v>50</v>
      </c>
      <c r="C46" s="14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41"/>
      <c r="R46" s="9">
        <v>12</v>
      </c>
      <c r="S46" s="10">
        <v>28</v>
      </c>
      <c r="T46" s="11">
        <v>2.3333333333333335</v>
      </c>
      <c r="U46" s="10">
        <v>6</v>
      </c>
      <c r="V46" s="10">
        <v>9</v>
      </c>
      <c r="W46" s="10">
        <v>21</v>
      </c>
      <c r="X46" s="11">
        <v>1.75</v>
      </c>
      <c r="Y46" s="38">
        <v>100</v>
      </c>
      <c r="Z46" s="11">
        <v>5.57</v>
      </c>
      <c r="AA46" s="50">
        <v>86.928333333333342</v>
      </c>
      <c r="AB46" s="50">
        <v>4.0727285966805766</v>
      </c>
      <c r="AC46" s="50">
        <v>81.477249999999998</v>
      </c>
      <c r="AD46" s="50">
        <v>5.3683333333333332</v>
      </c>
      <c r="AE46" s="50">
        <v>0.54584541971351042</v>
      </c>
      <c r="AF46" s="11">
        <v>5.9474999999999998</v>
      </c>
      <c r="AG46" s="9">
        <v>6</v>
      </c>
      <c r="AH46" s="10">
        <v>29</v>
      </c>
      <c r="AI46" s="11">
        <v>4.833333333333333</v>
      </c>
      <c r="AJ46" s="10">
        <v>6</v>
      </c>
      <c r="AK46" s="10">
        <v>8</v>
      </c>
      <c r="AL46" s="10">
        <v>18</v>
      </c>
      <c r="AM46" s="11">
        <f>AL46/AG46</f>
        <v>3</v>
      </c>
      <c r="AN46" s="38">
        <f>AK46/(AL46-AG46)*100</f>
        <v>66.666666666666657</v>
      </c>
      <c r="AO46" s="11">
        <v>4.8583333333333325</v>
      </c>
      <c r="AP46" s="11">
        <v>90.346333333333334</v>
      </c>
      <c r="AQ46" s="11">
        <v>3.3033034811972102</v>
      </c>
      <c r="AR46" s="11">
        <v>86.732249999999993</v>
      </c>
      <c r="AS46" s="11">
        <v>4.5883333333333338</v>
      </c>
      <c r="AT46" s="11">
        <v>0.47659964563794793</v>
      </c>
      <c r="AU46" s="12">
        <v>5.04</v>
      </c>
    </row>
    <row r="47" spans="1:47" x14ac:dyDescent="0.3">
      <c r="A47" s="200"/>
      <c r="B47" s="102" t="s">
        <v>21</v>
      </c>
      <c r="C47" s="1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41"/>
      <c r="R47" s="9">
        <v>6</v>
      </c>
      <c r="S47" s="10">
        <v>14</v>
      </c>
      <c r="T47" s="11">
        <v>2.3333333333333335</v>
      </c>
      <c r="U47" s="10">
        <v>2</v>
      </c>
      <c r="V47" s="10">
        <v>4</v>
      </c>
      <c r="W47" s="10">
        <v>10</v>
      </c>
      <c r="X47" s="11">
        <v>1.6666666666666667</v>
      </c>
      <c r="Y47" s="38">
        <v>100</v>
      </c>
      <c r="Z47" s="11">
        <v>5.229000000000001</v>
      </c>
      <c r="AA47" s="50">
        <v>76.783500000000004</v>
      </c>
      <c r="AB47" s="50">
        <v>5.6614999999998696</v>
      </c>
      <c r="AC47" s="50">
        <v>72.820449999999994</v>
      </c>
      <c r="AD47" s="50">
        <v>5.835</v>
      </c>
      <c r="AE47" s="50">
        <v>0.34500000000001119</v>
      </c>
      <c r="AF47" s="11">
        <v>6.0765000000000002</v>
      </c>
      <c r="AG47" s="9">
        <v>3</v>
      </c>
      <c r="AH47" s="10">
        <v>11</v>
      </c>
      <c r="AI47" s="11">
        <v>3.6666666666666665</v>
      </c>
      <c r="AJ47" s="10">
        <v>1</v>
      </c>
      <c r="AK47" s="10">
        <v>6</v>
      </c>
      <c r="AL47" s="10">
        <v>9</v>
      </c>
      <c r="AM47" s="11">
        <f>AL47/AG47</f>
        <v>3</v>
      </c>
      <c r="AN47" s="38">
        <f>AK47/(AL47-AG47)*100</f>
        <v>100</v>
      </c>
      <c r="AO47" s="11">
        <v>4.6633333333333331</v>
      </c>
      <c r="AP47" s="11">
        <v>87.887</v>
      </c>
      <c r="AQ47" s="11">
        <v>0</v>
      </c>
      <c r="AR47" s="11">
        <v>87.887</v>
      </c>
      <c r="AS47" s="11">
        <v>4.33</v>
      </c>
      <c r="AT47" s="11">
        <v>0</v>
      </c>
      <c r="AU47" s="12">
        <v>4.33</v>
      </c>
    </row>
    <row r="48" spans="1:47" s="76" customFormat="1" ht="16.5" customHeight="1" x14ac:dyDescent="0.3">
      <c r="A48" s="200"/>
      <c r="B48" s="101" t="s">
        <v>59</v>
      </c>
      <c r="C48" s="78">
        <v>32</v>
      </c>
      <c r="D48" s="79">
        <v>110</v>
      </c>
      <c r="E48" s="80">
        <v>3.4375</v>
      </c>
      <c r="F48" s="79">
        <v>32</v>
      </c>
      <c r="G48" s="79">
        <v>43</v>
      </c>
      <c r="H48" s="79">
        <v>91</v>
      </c>
      <c r="I48" s="81">
        <f t="shared" ref="I48:I53" si="5">H48/C48</f>
        <v>2.84375</v>
      </c>
      <c r="J48" s="82">
        <f t="shared" si="1"/>
        <v>72.881355932203391</v>
      </c>
      <c r="K48" s="81">
        <v>4.4429670329670321</v>
      </c>
      <c r="L48" s="80">
        <v>92.628093749999977</v>
      </c>
      <c r="M48" s="81">
        <v>1.1997219563151684</v>
      </c>
      <c r="N48" s="80">
        <v>91.584149999999994</v>
      </c>
      <c r="O48" s="80">
        <v>4.4509375000000002</v>
      </c>
      <c r="P48" s="86">
        <v>0.43841589397938652</v>
      </c>
      <c r="Q48" s="83">
        <v>4.8970000000000002</v>
      </c>
      <c r="R48" s="9">
        <v>34</v>
      </c>
      <c r="S48" s="10">
        <v>143</v>
      </c>
      <c r="T48" s="11">
        <v>4.2058823529411766</v>
      </c>
      <c r="U48" s="10">
        <v>34</v>
      </c>
      <c r="V48" s="10">
        <v>65</v>
      </c>
      <c r="W48" s="10">
        <v>121</v>
      </c>
      <c r="X48" s="11">
        <v>3.5588235294117645</v>
      </c>
      <c r="Y48" s="38">
        <v>74.712643678160916</v>
      </c>
      <c r="Z48" s="11">
        <v>4.3129752066115703</v>
      </c>
      <c r="AA48" s="50">
        <v>93.278176470588235</v>
      </c>
      <c r="AB48" s="50">
        <v>1.3267468057265162</v>
      </c>
      <c r="AC48" s="50">
        <v>91.565449999999998</v>
      </c>
      <c r="AD48" s="50">
        <v>4.1911764705882355</v>
      </c>
      <c r="AE48" s="50">
        <v>0.48635961462736871</v>
      </c>
      <c r="AF48" s="11">
        <v>4.7155000000000005</v>
      </c>
      <c r="AG48" s="9">
        <v>17</v>
      </c>
      <c r="AH48" s="10">
        <v>70</v>
      </c>
      <c r="AI48" s="11">
        <v>4.117647058823529</v>
      </c>
      <c r="AJ48" s="10">
        <v>17</v>
      </c>
      <c r="AK48" s="10">
        <v>29</v>
      </c>
      <c r="AL48" s="10">
        <v>58</v>
      </c>
      <c r="AM48" s="11">
        <f>AL48/AG48</f>
        <v>3.4117647058823528</v>
      </c>
      <c r="AN48" s="38">
        <f>AK48/(AL48-AG48)*100</f>
        <v>70.731707317073173</v>
      </c>
      <c r="AO48" s="11">
        <v>4.2053448275862078</v>
      </c>
      <c r="AP48" s="11">
        <v>93.087411764705891</v>
      </c>
      <c r="AQ48" s="11">
        <v>1.9599053716290284</v>
      </c>
      <c r="AR48" s="11">
        <v>91.061999999999998</v>
      </c>
      <c r="AS48" s="11">
        <v>4.0082352941176467</v>
      </c>
      <c r="AT48" s="11">
        <v>0.39688841659201884</v>
      </c>
      <c r="AU48" s="12">
        <v>4.3680000000000003</v>
      </c>
    </row>
    <row r="49" spans="1:47" s="76" customFormat="1" ht="16.5" customHeight="1" x14ac:dyDescent="0.3">
      <c r="A49" s="200"/>
      <c r="B49" s="101" t="s">
        <v>60</v>
      </c>
      <c r="C49" s="78">
        <v>18</v>
      </c>
      <c r="D49" s="79">
        <v>66</v>
      </c>
      <c r="E49" s="80">
        <v>3.6666666666666665</v>
      </c>
      <c r="F49" s="79">
        <v>18</v>
      </c>
      <c r="G49" s="79">
        <v>22</v>
      </c>
      <c r="H49" s="79">
        <v>51</v>
      </c>
      <c r="I49" s="81">
        <f t="shared" si="5"/>
        <v>2.8333333333333335</v>
      </c>
      <c r="J49" s="82">
        <f t="shared" si="1"/>
        <v>66.666666666666657</v>
      </c>
      <c r="K49" s="81">
        <v>4.4392156862745109</v>
      </c>
      <c r="L49" s="80">
        <v>92.547944444444425</v>
      </c>
      <c r="M49" s="81">
        <v>1.2422820610226815</v>
      </c>
      <c r="N49" s="80">
        <v>91.066249999999997</v>
      </c>
      <c r="O49" s="80">
        <v>4.4533333333333331</v>
      </c>
      <c r="P49" s="86">
        <v>0.37950259843935841</v>
      </c>
      <c r="Q49" s="83">
        <v>4.8719999999999999</v>
      </c>
      <c r="R49" s="93"/>
      <c r="S49" s="94"/>
      <c r="T49" s="95"/>
      <c r="U49" s="94"/>
      <c r="V49" s="94"/>
      <c r="W49" s="94"/>
      <c r="X49" s="94"/>
      <c r="Y49" s="94"/>
      <c r="Z49" s="94"/>
      <c r="AA49" s="95"/>
      <c r="AB49" s="94"/>
      <c r="AC49" s="96"/>
      <c r="AD49" s="95"/>
      <c r="AE49" s="94"/>
      <c r="AF49" s="96"/>
      <c r="AG49" s="93"/>
      <c r="AH49" s="94"/>
      <c r="AI49" s="95"/>
      <c r="AJ49" s="94"/>
      <c r="AK49" s="94"/>
      <c r="AL49" s="94"/>
      <c r="AM49" s="94"/>
      <c r="AN49" s="94"/>
      <c r="AO49" s="94"/>
      <c r="AP49" s="95"/>
      <c r="AQ49" s="94"/>
      <c r="AR49" s="96"/>
      <c r="AS49" s="95"/>
      <c r="AT49" s="94"/>
      <c r="AU49" s="98"/>
    </row>
    <row r="50" spans="1:47" x14ac:dyDescent="0.3">
      <c r="A50" s="200"/>
      <c r="B50" s="102" t="s">
        <v>17</v>
      </c>
      <c r="C50" s="14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41"/>
      <c r="R50" s="9">
        <v>12</v>
      </c>
      <c r="S50" s="10">
        <v>53</v>
      </c>
      <c r="T50" s="11">
        <v>4.416666666666667</v>
      </c>
      <c r="U50" s="10">
        <v>11</v>
      </c>
      <c r="V50" s="10">
        <v>25</v>
      </c>
      <c r="W50" s="10">
        <v>45</v>
      </c>
      <c r="X50" s="11">
        <v>3.75</v>
      </c>
      <c r="Y50" s="38">
        <v>75.757575757575751</v>
      </c>
      <c r="Z50" s="11">
        <v>3.8640000000000003</v>
      </c>
      <c r="AA50" s="50">
        <v>94.239909090909109</v>
      </c>
      <c r="AB50" s="50">
        <v>1.0070399878786234</v>
      </c>
      <c r="AC50" s="50">
        <v>92.990000000000009</v>
      </c>
      <c r="AD50" s="50">
        <v>3.8409090909090917</v>
      </c>
      <c r="AE50" s="50">
        <v>0.47706402363270239</v>
      </c>
      <c r="AF50" s="11">
        <v>4.4000000000000004</v>
      </c>
      <c r="AG50" s="9">
        <v>6</v>
      </c>
      <c r="AH50" s="10">
        <v>46</v>
      </c>
      <c r="AI50" s="11">
        <v>7.666666666666667</v>
      </c>
      <c r="AJ50" s="10">
        <v>6</v>
      </c>
      <c r="AK50" s="10">
        <v>19</v>
      </c>
      <c r="AL50" s="10">
        <v>44</v>
      </c>
      <c r="AM50" s="11">
        <f>AL50/AG50</f>
        <v>7.333333333333333</v>
      </c>
      <c r="AN50" s="38">
        <f>AK50/(AL50-AG50)*100</f>
        <v>50</v>
      </c>
      <c r="AO50" s="11">
        <v>3.6927272727272733</v>
      </c>
      <c r="AP50" s="11">
        <v>94.805166666666665</v>
      </c>
      <c r="AQ50" s="11">
        <v>0.22222167360908607</v>
      </c>
      <c r="AR50" s="11">
        <v>94.65025</v>
      </c>
      <c r="AS50" s="11">
        <v>3.5966666666666662</v>
      </c>
      <c r="AT50" s="11">
        <v>0.11294049564065764</v>
      </c>
      <c r="AU50" s="12">
        <v>3.6749999999999998</v>
      </c>
    </row>
    <row r="51" spans="1:47" x14ac:dyDescent="0.3">
      <c r="A51" s="200"/>
      <c r="B51" s="102" t="s">
        <v>18</v>
      </c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41"/>
      <c r="R51" s="9">
        <v>10</v>
      </c>
      <c r="S51" s="10">
        <v>40</v>
      </c>
      <c r="T51" s="11">
        <v>4</v>
      </c>
      <c r="U51" s="10">
        <v>10</v>
      </c>
      <c r="V51" s="10">
        <v>16</v>
      </c>
      <c r="W51" s="10">
        <v>37</v>
      </c>
      <c r="X51" s="11">
        <v>3.7</v>
      </c>
      <c r="Y51" s="38">
        <v>59.259259259259252</v>
      </c>
      <c r="Z51" s="11">
        <v>4.5313513513513515</v>
      </c>
      <c r="AA51" s="50">
        <v>93.156199999999984</v>
      </c>
      <c r="AB51" s="50">
        <v>1.372457489324981</v>
      </c>
      <c r="AC51" s="50">
        <v>91.769000000000005</v>
      </c>
      <c r="AD51" s="50">
        <v>4.2979999999999992</v>
      </c>
      <c r="AE51" s="50">
        <v>0.54398161733647443</v>
      </c>
      <c r="AF51" s="11">
        <v>4.8395000000000001</v>
      </c>
      <c r="AG51" s="9">
        <v>5</v>
      </c>
      <c r="AH51" s="10">
        <v>28</v>
      </c>
      <c r="AI51" s="11">
        <v>5.6</v>
      </c>
      <c r="AJ51" s="10">
        <v>5</v>
      </c>
      <c r="AK51" s="10">
        <v>4</v>
      </c>
      <c r="AL51" s="10">
        <v>22</v>
      </c>
      <c r="AM51" s="11">
        <f>AL51/AG51</f>
        <v>4.4000000000000004</v>
      </c>
      <c r="AN51" s="38">
        <f>AK51/(AL51-AG51)*100</f>
        <v>23.52941176470588</v>
      </c>
      <c r="AO51" s="11">
        <v>4.33590909090909</v>
      </c>
      <c r="AP51" s="11">
        <v>94.630600000000001</v>
      </c>
      <c r="AQ51" s="11">
        <v>0.6831625282460243</v>
      </c>
      <c r="AR51" s="11">
        <v>94.068799999999996</v>
      </c>
      <c r="AS51" s="11">
        <v>3.6840000000000002</v>
      </c>
      <c r="AT51" s="11">
        <v>0.34308016555901161</v>
      </c>
      <c r="AU51" s="12">
        <v>3.968</v>
      </c>
    </row>
    <row r="52" spans="1:47" s="76" customFormat="1" ht="16.5" customHeight="1" x14ac:dyDescent="0.3">
      <c r="A52" s="200"/>
      <c r="B52" s="101" t="s">
        <v>61</v>
      </c>
      <c r="C52" s="78">
        <v>7</v>
      </c>
      <c r="D52" s="79">
        <v>24</v>
      </c>
      <c r="E52" s="80">
        <v>3.4285714285714284</v>
      </c>
      <c r="F52" s="79">
        <v>7</v>
      </c>
      <c r="G52" s="79">
        <v>7</v>
      </c>
      <c r="H52" s="79">
        <v>18</v>
      </c>
      <c r="I52" s="81">
        <f t="shared" si="5"/>
        <v>2.5714285714285716</v>
      </c>
      <c r="J52" s="82">
        <f t="shared" si="1"/>
        <v>63.636363636363633</v>
      </c>
      <c r="K52" s="81">
        <v>5.1350000000000007</v>
      </c>
      <c r="L52" s="80">
        <v>88.10942857142858</v>
      </c>
      <c r="M52" s="81">
        <v>2.6384810488035253</v>
      </c>
      <c r="N52" s="80">
        <v>86.29310000000001</v>
      </c>
      <c r="O52" s="80">
        <v>5.055714285714286</v>
      </c>
      <c r="P52" s="86">
        <v>0.44454976076466379</v>
      </c>
      <c r="Q52" s="83">
        <v>5.371999999999999</v>
      </c>
      <c r="R52" s="9">
        <v>9</v>
      </c>
      <c r="S52" s="10">
        <v>23</v>
      </c>
      <c r="T52" s="11">
        <v>2.5555555555555554</v>
      </c>
      <c r="U52" s="10">
        <v>7</v>
      </c>
      <c r="V52" s="10">
        <v>9</v>
      </c>
      <c r="W52" s="10">
        <v>18</v>
      </c>
      <c r="X52" s="11">
        <v>2</v>
      </c>
      <c r="Y52" s="38">
        <v>100</v>
      </c>
      <c r="Z52" s="11">
        <v>5.0344444444444436</v>
      </c>
      <c r="AA52" s="50">
        <v>86.252714285714291</v>
      </c>
      <c r="AB52" s="50">
        <v>9.286620278878793</v>
      </c>
      <c r="AC52" s="50">
        <v>84.8767</v>
      </c>
      <c r="AD52" s="50">
        <v>5.2442857142857147</v>
      </c>
      <c r="AE52" s="50">
        <v>0.75700268244207058</v>
      </c>
      <c r="AF52" s="11">
        <v>5.5119999999999996</v>
      </c>
      <c r="AG52" s="9">
        <v>2</v>
      </c>
      <c r="AH52" s="10">
        <v>18</v>
      </c>
      <c r="AI52" s="11">
        <v>9</v>
      </c>
      <c r="AJ52" s="10">
        <v>2</v>
      </c>
      <c r="AK52" s="10">
        <v>2</v>
      </c>
      <c r="AL52" s="10">
        <v>13</v>
      </c>
      <c r="AM52" s="11">
        <f>AL52/AG52</f>
        <v>6.5</v>
      </c>
      <c r="AN52" s="38">
        <f>AK52/(AL52-AG52)*100</f>
        <v>18.181818181818183</v>
      </c>
      <c r="AO52" s="11">
        <v>4.2723076923076917</v>
      </c>
      <c r="AP52" s="11">
        <v>93.774000000000001</v>
      </c>
      <c r="AQ52" s="11">
        <v>0.24900000000047526</v>
      </c>
      <c r="AR52" s="11">
        <v>93.599699999999999</v>
      </c>
      <c r="AS52" s="11">
        <v>4.0150000000000006</v>
      </c>
      <c r="AT52" s="11">
        <v>0.22499999999999243</v>
      </c>
      <c r="AU52" s="12">
        <v>4.1725000000000003</v>
      </c>
    </row>
    <row r="53" spans="1:47" s="76" customFormat="1" ht="16.5" customHeight="1" x14ac:dyDescent="0.3">
      <c r="A53" s="200"/>
      <c r="B53" s="101" t="s">
        <v>62</v>
      </c>
      <c r="C53" s="78">
        <v>6</v>
      </c>
      <c r="D53" s="79">
        <v>19</v>
      </c>
      <c r="E53" s="80">
        <v>3.1666666666666665</v>
      </c>
      <c r="F53" s="79">
        <v>6</v>
      </c>
      <c r="G53" s="79">
        <v>4</v>
      </c>
      <c r="H53" s="79">
        <v>14</v>
      </c>
      <c r="I53" s="81">
        <f t="shared" si="5"/>
        <v>2.3333333333333335</v>
      </c>
      <c r="J53" s="82">
        <f t="shared" si="1"/>
        <v>50</v>
      </c>
      <c r="K53" s="81">
        <v>5.0371428571428565</v>
      </c>
      <c r="L53" s="80">
        <v>90.379833333333337</v>
      </c>
      <c r="M53" s="81">
        <v>4.2554118256117848</v>
      </c>
      <c r="N53" s="80">
        <v>85.183750000000003</v>
      </c>
      <c r="O53" s="80">
        <v>4.6916666666666664</v>
      </c>
      <c r="P53" s="86">
        <v>0.64690073083554178</v>
      </c>
      <c r="Q53" s="83">
        <v>5.58</v>
      </c>
      <c r="R53" s="93"/>
      <c r="S53" s="94"/>
      <c r="T53" s="95"/>
      <c r="U53" s="94"/>
      <c r="V53" s="94"/>
      <c r="W53" s="94"/>
      <c r="X53" s="94"/>
      <c r="Y53" s="94"/>
      <c r="Z53" s="94"/>
      <c r="AA53" s="95"/>
      <c r="AB53" s="94"/>
      <c r="AC53" s="96"/>
      <c r="AD53" s="95"/>
      <c r="AE53" s="94"/>
      <c r="AF53" s="96"/>
      <c r="AG53" s="93"/>
      <c r="AH53" s="94"/>
      <c r="AI53" s="95"/>
      <c r="AJ53" s="94"/>
      <c r="AK53" s="94"/>
      <c r="AL53" s="94"/>
      <c r="AM53" s="94"/>
      <c r="AN53" s="94"/>
      <c r="AO53" s="94"/>
      <c r="AP53" s="95"/>
      <c r="AQ53" s="94"/>
      <c r="AR53" s="96"/>
      <c r="AS53" s="95"/>
      <c r="AT53" s="94"/>
      <c r="AU53" s="98"/>
    </row>
    <row r="54" spans="1:47" x14ac:dyDescent="0.3">
      <c r="A54" s="200"/>
      <c r="B54" s="102" t="s">
        <v>38</v>
      </c>
      <c r="C54" s="14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41"/>
      <c r="R54" s="9">
        <v>6</v>
      </c>
      <c r="S54" s="10">
        <v>14</v>
      </c>
      <c r="T54" s="11">
        <v>2.3333333333333335</v>
      </c>
      <c r="U54" s="10">
        <v>0</v>
      </c>
      <c r="V54" s="10">
        <v>2</v>
      </c>
      <c r="W54" s="10">
        <v>8</v>
      </c>
      <c r="X54" s="11">
        <v>1.3333333333333333</v>
      </c>
      <c r="Y54" s="38">
        <v>100</v>
      </c>
      <c r="Z54" s="11">
        <v>5.7249999999999996</v>
      </c>
      <c r="AA54" s="60" t="s">
        <v>49</v>
      </c>
      <c r="AB54" s="60" t="s">
        <v>49</v>
      </c>
      <c r="AC54" s="60" t="s">
        <v>49</v>
      </c>
      <c r="AD54" s="60" t="s">
        <v>49</v>
      </c>
      <c r="AE54" s="60" t="s">
        <v>49</v>
      </c>
      <c r="AF54" s="46" t="s">
        <v>49</v>
      </c>
      <c r="AG54" s="9">
        <v>2</v>
      </c>
      <c r="AH54" s="10">
        <v>6</v>
      </c>
      <c r="AI54" s="11">
        <v>3</v>
      </c>
      <c r="AJ54" s="10">
        <v>1</v>
      </c>
      <c r="AK54" s="10">
        <v>1</v>
      </c>
      <c r="AL54" s="10">
        <v>3</v>
      </c>
      <c r="AM54" s="11">
        <f>AL54/AG54</f>
        <v>1.5</v>
      </c>
      <c r="AN54" s="38">
        <f>AK54/(AL54-AG54)*100</f>
        <v>100</v>
      </c>
      <c r="AO54" s="11">
        <v>5.336666666666666</v>
      </c>
      <c r="AP54" s="11">
        <v>82.793000000000006</v>
      </c>
      <c r="AQ54" s="11">
        <v>0</v>
      </c>
      <c r="AR54" s="11">
        <v>82.793000000000006</v>
      </c>
      <c r="AS54" s="11">
        <v>5.45</v>
      </c>
      <c r="AT54" s="11">
        <v>0</v>
      </c>
      <c r="AU54" s="12">
        <v>5.45</v>
      </c>
    </row>
    <row r="55" spans="1:47" x14ac:dyDescent="0.3">
      <c r="A55" s="200"/>
      <c r="B55" s="102" t="s">
        <v>40</v>
      </c>
      <c r="C55" s="14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41"/>
      <c r="R55" s="9">
        <v>5</v>
      </c>
      <c r="S55" s="10">
        <v>20</v>
      </c>
      <c r="T55" s="11">
        <v>4</v>
      </c>
      <c r="U55" s="10">
        <v>5</v>
      </c>
      <c r="V55" s="10">
        <v>9</v>
      </c>
      <c r="W55" s="10">
        <v>16</v>
      </c>
      <c r="X55" s="11">
        <v>3.2</v>
      </c>
      <c r="Y55" s="38">
        <v>81.818181818181827</v>
      </c>
      <c r="Z55" s="11">
        <v>4.2437499999999995</v>
      </c>
      <c r="AA55" s="50">
        <v>93.140599999999992</v>
      </c>
      <c r="AB55" s="50">
        <v>1.5733479716837779</v>
      </c>
      <c r="AC55" s="50">
        <v>91.506600000000006</v>
      </c>
      <c r="AD55" s="50">
        <v>4.26</v>
      </c>
      <c r="AE55" s="50">
        <v>0.60069959214236435</v>
      </c>
      <c r="AF55" s="11">
        <v>4.8140000000000001</v>
      </c>
      <c r="AG55" s="9">
        <v>3</v>
      </c>
      <c r="AH55" s="10">
        <v>14</v>
      </c>
      <c r="AI55" s="11">
        <v>4.666666666666667</v>
      </c>
      <c r="AJ55" s="10">
        <v>3</v>
      </c>
      <c r="AK55" s="10">
        <v>7</v>
      </c>
      <c r="AL55" s="10">
        <v>11</v>
      </c>
      <c r="AM55" s="11">
        <f>AL55/AG55</f>
        <v>3.6666666666666665</v>
      </c>
      <c r="AN55" s="38">
        <f>AK55/(AL55-AG55)*100</f>
        <v>87.5</v>
      </c>
      <c r="AO55" s="11">
        <v>4.04</v>
      </c>
      <c r="AP55" s="11">
        <v>92.204333333333338</v>
      </c>
      <c r="AQ55" s="11">
        <v>1.7927394927568059</v>
      </c>
      <c r="AR55" s="11">
        <v>90.6892</v>
      </c>
      <c r="AS55" s="11">
        <v>4.1933333333333334</v>
      </c>
      <c r="AT55" s="11">
        <v>0.34032664048266564</v>
      </c>
      <c r="AU55" s="12">
        <v>4.476</v>
      </c>
    </row>
    <row r="56" spans="1:47" x14ac:dyDescent="0.3">
      <c r="A56" s="200"/>
      <c r="B56" s="102" t="s">
        <v>20</v>
      </c>
      <c r="C56" s="14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41"/>
      <c r="R56" s="9">
        <v>6</v>
      </c>
      <c r="S56" s="10">
        <v>11</v>
      </c>
      <c r="T56" s="11">
        <v>1.8333333333333333</v>
      </c>
      <c r="U56" s="10">
        <v>1</v>
      </c>
      <c r="V56" s="45" t="s">
        <v>51</v>
      </c>
      <c r="W56" s="10">
        <v>4</v>
      </c>
      <c r="X56" s="11">
        <v>0.66666666666666663</v>
      </c>
      <c r="Y56" s="45" t="s">
        <v>51</v>
      </c>
      <c r="Z56" s="11">
        <v>5.4750000000000005</v>
      </c>
      <c r="AA56" s="50">
        <v>92.453000000000003</v>
      </c>
      <c r="AB56" s="50">
        <v>0</v>
      </c>
      <c r="AC56" s="50">
        <v>92.453000000000003</v>
      </c>
      <c r="AD56" s="50">
        <v>4.7699999999999996</v>
      </c>
      <c r="AE56" s="50">
        <v>0</v>
      </c>
      <c r="AF56" s="11">
        <v>4.7699999999999996</v>
      </c>
      <c r="AG56" s="9">
        <v>3</v>
      </c>
      <c r="AH56" s="10">
        <v>11</v>
      </c>
      <c r="AI56" s="11">
        <v>3.6666666666666665</v>
      </c>
      <c r="AJ56" s="10">
        <v>2</v>
      </c>
      <c r="AK56" s="10">
        <v>5</v>
      </c>
      <c r="AL56" s="10">
        <v>9</v>
      </c>
      <c r="AM56" s="11">
        <f>AL56/AG56</f>
        <v>3</v>
      </c>
      <c r="AN56" s="38">
        <f>AK56/(AL56-AG56)*100</f>
        <v>83.333333333333343</v>
      </c>
      <c r="AO56" s="11">
        <v>4.4222222222222225</v>
      </c>
      <c r="AP56" s="11">
        <v>93.478499999999997</v>
      </c>
      <c r="AQ56" s="11">
        <v>2.0825000000002989</v>
      </c>
      <c r="AR56" s="11">
        <v>92.020750000000007</v>
      </c>
      <c r="AS56" s="11">
        <v>3.59</v>
      </c>
      <c r="AT56" s="11">
        <v>0.37000000000000094</v>
      </c>
      <c r="AU56" s="12">
        <v>3.8490000000000002</v>
      </c>
    </row>
    <row r="57" spans="1:47" s="76" customFormat="1" ht="16.5" customHeight="1" x14ac:dyDescent="0.3">
      <c r="A57" s="200"/>
      <c r="B57" s="101" t="s">
        <v>64</v>
      </c>
      <c r="C57" s="78">
        <v>9</v>
      </c>
      <c r="D57" s="79">
        <v>18</v>
      </c>
      <c r="E57" s="80">
        <v>2</v>
      </c>
      <c r="F57" s="79">
        <v>3</v>
      </c>
      <c r="G57" s="79">
        <v>4</v>
      </c>
      <c r="H57" s="79">
        <v>13</v>
      </c>
      <c r="I57" s="81">
        <f t="shared" ref="I57:I60" si="6">H57/C57</f>
        <v>1.4444444444444444</v>
      </c>
      <c r="J57" s="82">
        <f t="shared" si="1"/>
        <v>100</v>
      </c>
      <c r="K57" s="81">
        <v>4.8753846153846165</v>
      </c>
      <c r="L57" s="80">
        <v>88.554666666666662</v>
      </c>
      <c r="M57" s="81">
        <v>4.2340516713374772</v>
      </c>
      <c r="N57" s="80">
        <v>85.000699999999995</v>
      </c>
      <c r="O57" s="80">
        <v>5.2566666666666668</v>
      </c>
      <c r="P57" s="86">
        <v>0.42145251478929713</v>
      </c>
      <c r="Q57" s="83">
        <v>5.6040000000000001</v>
      </c>
      <c r="R57" s="9">
        <v>6</v>
      </c>
      <c r="S57" s="10">
        <v>15</v>
      </c>
      <c r="T57" s="11">
        <v>2.5</v>
      </c>
      <c r="U57" s="10">
        <v>3</v>
      </c>
      <c r="V57" s="10">
        <v>3</v>
      </c>
      <c r="W57" s="10">
        <v>9</v>
      </c>
      <c r="X57" s="11">
        <v>1.5</v>
      </c>
      <c r="Y57" s="38">
        <v>100</v>
      </c>
      <c r="Z57" s="11">
        <v>4.7577777777777781</v>
      </c>
      <c r="AA57" s="50">
        <v>91.354333333333329</v>
      </c>
      <c r="AB57" s="50">
        <v>2.2013332828590584</v>
      </c>
      <c r="AC57" s="50">
        <v>89.589100000000002</v>
      </c>
      <c r="AD57" s="50">
        <v>4.66</v>
      </c>
      <c r="AE57" s="50">
        <v>0.41529106258943665</v>
      </c>
      <c r="AF57" s="11">
        <v>5.0030000000000001</v>
      </c>
      <c r="AG57" s="9">
        <v>3</v>
      </c>
      <c r="AH57" s="10">
        <v>12</v>
      </c>
      <c r="AI57" s="11">
        <v>4</v>
      </c>
      <c r="AJ57" s="10">
        <v>3</v>
      </c>
      <c r="AK57" s="10">
        <v>2</v>
      </c>
      <c r="AL57" s="10">
        <v>7</v>
      </c>
      <c r="AM57" s="11">
        <f>AL57/AG57</f>
        <v>2.3333333333333335</v>
      </c>
      <c r="AN57" s="38">
        <f>AK57/(AL57-AG57)*100</f>
        <v>50</v>
      </c>
      <c r="AO57" s="11">
        <v>4.9799999999999995</v>
      </c>
      <c r="AP57" s="11">
        <v>89.74433333333333</v>
      </c>
      <c r="AQ57" s="11">
        <v>4.0911728011524842</v>
      </c>
      <c r="AR57" s="11">
        <v>86.379900000000006</v>
      </c>
      <c r="AS57" s="11">
        <v>4.4766666666666666</v>
      </c>
      <c r="AT57" s="11">
        <v>0.27475241379993476</v>
      </c>
      <c r="AU57" s="12">
        <v>4.7040000000000006</v>
      </c>
    </row>
    <row r="58" spans="1:47" s="76" customFormat="1" ht="16.5" customHeight="1" x14ac:dyDescent="0.3">
      <c r="A58" s="200"/>
      <c r="B58" s="101" t="s">
        <v>65</v>
      </c>
      <c r="C58" s="78">
        <v>6</v>
      </c>
      <c r="D58" s="79">
        <v>15</v>
      </c>
      <c r="E58" s="80">
        <v>2.5</v>
      </c>
      <c r="F58" s="79">
        <v>3</v>
      </c>
      <c r="G58" s="90" t="s">
        <v>70</v>
      </c>
      <c r="H58" s="79">
        <v>6</v>
      </c>
      <c r="I58" s="81">
        <f t="shared" si="6"/>
        <v>1</v>
      </c>
      <c r="J58" s="91" t="s">
        <v>70</v>
      </c>
      <c r="K58" s="81">
        <v>5.0966666666666667</v>
      </c>
      <c r="L58" s="80">
        <v>88.191333333333333</v>
      </c>
      <c r="M58" s="81">
        <v>1.7297168040518813</v>
      </c>
      <c r="N58" s="80">
        <v>86.822199999999995</v>
      </c>
      <c r="O58" s="80">
        <v>5.22</v>
      </c>
      <c r="P58" s="86">
        <v>0.11313708498984137</v>
      </c>
      <c r="Q58" s="83">
        <v>5.3</v>
      </c>
      <c r="R58" s="9">
        <v>6</v>
      </c>
      <c r="S58" s="10">
        <v>17</v>
      </c>
      <c r="T58" s="11">
        <v>2.8333333333333335</v>
      </c>
      <c r="U58" s="10">
        <v>2</v>
      </c>
      <c r="V58" s="10">
        <v>2</v>
      </c>
      <c r="W58" s="10">
        <v>8</v>
      </c>
      <c r="X58" s="11">
        <v>1.3333333333333333</v>
      </c>
      <c r="Y58" s="38">
        <v>100</v>
      </c>
      <c r="Z58" s="11">
        <v>5.0737499999999995</v>
      </c>
      <c r="AA58" s="50">
        <v>86.860500000000002</v>
      </c>
      <c r="AB58" s="50">
        <v>5.4714999999998435</v>
      </c>
      <c r="AC58" s="50">
        <v>83.030449999999988</v>
      </c>
      <c r="AD58" s="50">
        <v>5.51</v>
      </c>
      <c r="AE58" s="50">
        <v>0.68000000000000438</v>
      </c>
      <c r="AF58" s="11">
        <v>5.9860000000000007</v>
      </c>
      <c r="AG58" s="9">
        <v>3</v>
      </c>
      <c r="AH58" s="10">
        <v>14</v>
      </c>
      <c r="AI58" s="11">
        <v>4.666666666666667</v>
      </c>
      <c r="AJ58" s="10">
        <v>2</v>
      </c>
      <c r="AK58" s="10">
        <v>2</v>
      </c>
      <c r="AL58" s="10">
        <v>7</v>
      </c>
      <c r="AM58" s="11">
        <f>AL58/AG58</f>
        <v>2.3333333333333335</v>
      </c>
      <c r="AN58" s="38">
        <f>AK58/(AL58-AG58)*100</f>
        <v>50</v>
      </c>
      <c r="AO58" s="11">
        <v>4.9685714285714289</v>
      </c>
      <c r="AP58" s="11">
        <v>88.356999999999999</v>
      </c>
      <c r="AQ58" s="11">
        <v>1.2599999999999358</v>
      </c>
      <c r="AR58" s="11">
        <v>87.474999999999994</v>
      </c>
      <c r="AS58" s="11">
        <v>4.8650000000000002</v>
      </c>
      <c r="AT58" s="11">
        <v>4.9999999997277196E-3</v>
      </c>
      <c r="AU58" s="12">
        <v>4.8685</v>
      </c>
    </row>
    <row r="59" spans="1:47" s="76" customFormat="1" ht="16.5" customHeight="1" x14ac:dyDescent="0.3">
      <c r="A59" s="200"/>
      <c r="B59" s="101" t="s">
        <v>66</v>
      </c>
      <c r="C59" s="78">
        <v>90</v>
      </c>
      <c r="D59" s="79">
        <v>208</v>
      </c>
      <c r="E59" s="80">
        <v>2.3111111111111109</v>
      </c>
      <c r="F59" s="79">
        <v>79</v>
      </c>
      <c r="G59" s="79">
        <v>48</v>
      </c>
      <c r="H59" s="79">
        <v>138</v>
      </c>
      <c r="I59" s="81">
        <f t="shared" si="6"/>
        <v>1.5333333333333334</v>
      </c>
      <c r="J59" s="82">
        <f t="shared" si="1"/>
        <v>100</v>
      </c>
      <c r="K59" s="81">
        <v>5.4609420289855084</v>
      </c>
      <c r="L59" s="80">
        <v>82.446898734177211</v>
      </c>
      <c r="M59" s="81">
        <v>9.4999323869611807</v>
      </c>
      <c r="N59" s="80">
        <v>72.299399999999991</v>
      </c>
      <c r="O59" s="80">
        <v>5.5491139240506335</v>
      </c>
      <c r="P59" s="86">
        <v>0.78008469172379336</v>
      </c>
      <c r="Q59" s="83">
        <v>6.4479999999999995</v>
      </c>
      <c r="R59" s="93"/>
      <c r="S59" s="94"/>
      <c r="T59" s="95"/>
      <c r="U59" s="94"/>
      <c r="V59" s="94"/>
      <c r="W59" s="94"/>
      <c r="X59" s="94"/>
      <c r="Y59" s="94"/>
      <c r="Z59" s="94"/>
      <c r="AA59" s="95"/>
      <c r="AB59" s="94"/>
      <c r="AC59" s="96"/>
      <c r="AD59" s="95"/>
      <c r="AE59" s="94"/>
      <c r="AF59" s="96"/>
      <c r="AG59" s="93"/>
      <c r="AH59" s="94"/>
      <c r="AI59" s="95"/>
      <c r="AJ59" s="94"/>
      <c r="AK59" s="94"/>
      <c r="AL59" s="94"/>
      <c r="AM59" s="94"/>
      <c r="AN59" s="94"/>
      <c r="AO59" s="94"/>
      <c r="AP59" s="95"/>
      <c r="AQ59" s="94"/>
      <c r="AR59" s="96"/>
      <c r="AS59" s="95"/>
      <c r="AT59" s="94"/>
      <c r="AU59" s="98"/>
    </row>
    <row r="60" spans="1:47" s="76" customFormat="1" ht="16.5" customHeight="1" thickBot="1" x14ac:dyDescent="0.35">
      <c r="A60" s="202"/>
      <c r="B60" s="135" t="s">
        <v>67</v>
      </c>
      <c r="C60" s="139">
        <v>236</v>
      </c>
      <c r="D60" s="122">
        <v>715</v>
      </c>
      <c r="E60" s="123">
        <v>3.0296610169491527</v>
      </c>
      <c r="F60" s="122">
        <v>206</v>
      </c>
      <c r="G60" s="122">
        <v>174</v>
      </c>
      <c r="H60" s="122">
        <v>496</v>
      </c>
      <c r="I60" s="127">
        <f t="shared" si="6"/>
        <v>2.1016949152542375</v>
      </c>
      <c r="J60" s="136">
        <f t="shared" si="1"/>
        <v>66.92307692307692</v>
      </c>
      <c r="K60" s="127">
        <v>5.007903225806448</v>
      </c>
      <c r="L60" s="123">
        <v>87.539242718446573</v>
      </c>
      <c r="M60" s="127">
        <v>7.8149749249126765</v>
      </c>
      <c r="N60" s="128"/>
      <c r="O60" s="123">
        <v>5.0607766990291241</v>
      </c>
      <c r="P60" s="129">
        <v>0.76789169103840804</v>
      </c>
      <c r="Q60" s="130"/>
      <c r="R60" s="18">
        <v>209</v>
      </c>
      <c r="S60" s="19">
        <v>684</v>
      </c>
      <c r="T60" s="20">
        <v>3.2727272727272729</v>
      </c>
      <c r="U60" s="19">
        <v>166</v>
      </c>
      <c r="V60" s="19">
        <v>250</v>
      </c>
      <c r="W60" s="19">
        <v>508</v>
      </c>
      <c r="X60" s="20">
        <v>2.4306220095693778</v>
      </c>
      <c r="Y60" s="40">
        <v>83.61204013377926</v>
      </c>
      <c r="Z60" s="20">
        <v>4.7377362204724376</v>
      </c>
      <c r="AA60" s="59">
        <v>88.39542771084335</v>
      </c>
      <c r="AB60" s="59">
        <v>7.4250474910787778</v>
      </c>
      <c r="AC60" s="27"/>
      <c r="AD60" s="59">
        <v>4.858855421686747</v>
      </c>
      <c r="AE60" s="59">
        <v>0.85027806412139406</v>
      </c>
      <c r="AF60" s="27"/>
      <c r="AG60" s="18">
        <v>100</v>
      </c>
      <c r="AH60" s="19">
        <v>488</v>
      </c>
      <c r="AI60" s="20">
        <v>4.88</v>
      </c>
      <c r="AJ60" s="19">
        <v>87</v>
      </c>
      <c r="AK60" s="19">
        <v>186</v>
      </c>
      <c r="AL60" s="19">
        <v>375</v>
      </c>
      <c r="AM60" s="20">
        <f t="shared" ref="AM60" si="7">AL60/AG60</f>
        <v>3.75</v>
      </c>
      <c r="AN60" s="40">
        <f t="shared" ref="AN60" si="8">AK60/(AL60-AG60)*100</f>
        <v>67.63636363636364</v>
      </c>
      <c r="AO60" s="20">
        <v>4.3040799999999946</v>
      </c>
      <c r="AP60" s="20">
        <v>91.369908045976985</v>
      </c>
      <c r="AQ60" s="20">
        <v>4.0677653772022371</v>
      </c>
      <c r="AR60" s="27"/>
      <c r="AS60" s="20">
        <v>4.2752873563218392</v>
      </c>
      <c r="AT60" s="20">
        <v>0.60508731977524299</v>
      </c>
      <c r="AU60" s="42"/>
    </row>
    <row r="61" spans="1:47" s="76" customFormat="1" ht="16.5" customHeight="1" x14ac:dyDescent="0.3">
      <c r="A61" s="201" t="s">
        <v>71</v>
      </c>
      <c r="B61" s="111" t="s">
        <v>54</v>
      </c>
      <c r="C61" s="138">
        <v>5</v>
      </c>
      <c r="D61" s="112">
        <v>17</v>
      </c>
      <c r="E61" s="113">
        <v>3.4</v>
      </c>
      <c r="F61" s="112">
        <v>5</v>
      </c>
      <c r="G61" s="112">
        <v>3</v>
      </c>
      <c r="H61" s="114"/>
      <c r="I61" s="115"/>
      <c r="J61" s="116"/>
      <c r="K61" s="115"/>
      <c r="L61" s="113">
        <v>83.625199999999992</v>
      </c>
      <c r="M61" s="117">
        <v>5.3921807981558407</v>
      </c>
      <c r="N61" s="118"/>
      <c r="O61" s="113">
        <v>5.5879999999999992</v>
      </c>
      <c r="P61" s="119">
        <v>0.35278321955558584</v>
      </c>
      <c r="Q61" s="120"/>
      <c r="R61" s="93"/>
      <c r="S61" s="94"/>
      <c r="T61" s="95"/>
      <c r="U61" s="94"/>
      <c r="V61" s="94"/>
      <c r="W61" s="94"/>
      <c r="X61" s="94"/>
      <c r="Y61" s="94"/>
      <c r="Z61" s="94"/>
      <c r="AA61" s="95"/>
      <c r="AB61" s="94"/>
      <c r="AC61" s="96"/>
      <c r="AD61" s="95"/>
      <c r="AE61" s="94"/>
      <c r="AF61" s="96"/>
      <c r="AG61" s="93"/>
      <c r="AH61" s="94"/>
      <c r="AI61" s="95"/>
      <c r="AJ61" s="94"/>
      <c r="AK61" s="94"/>
      <c r="AL61" s="94"/>
      <c r="AM61" s="94"/>
      <c r="AN61" s="94"/>
      <c r="AO61" s="94"/>
      <c r="AP61" s="95"/>
      <c r="AQ61" s="94"/>
      <c r="AR61" s="96"/>
      <c r="AS61" s="95"/>
      <c r="AT61" s="94"/>
      <c r="AU61" s="98"/>
    </row>
    <row r="62" spans="1:47" x14ac:dyDescent="0.3">
      <c r="A62" s="200"/>
      <c r="B62" s="100" t="s">
        <v>14</v>
      </c>
      <c r="C62" s="14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41"/>
      <c r="R62" s="9">
        <v>3</v>
      </c>
      <c r="S62" s="10">
        <v>9</v>
      </c>
      <c r="T62" s="11">
        <v>3</v>
      </c>
      <c r="U62" s="10">
        <v>3</v>
      </c>
      <c r="V62" s="10">
        <v>5</v>
      </c>
      <c r="W62" s="15"/>
      <c r="X62" s="15"/>
      <c r="Y62" s="15"/>
      <c r="Z62" s="15"/>
      <c r="AA62" s="50">
        <v>71.363333333333344</v>
      </c>
      <c r="AB62" s="50">
        <v>8.78753072382802</v>
      </c>
      <c r="AC62" s="15"/>
      <c r="AD62" s="50">
        <v>6.32</v>
      </c>
      <c r="AE62" s="50">
        <v>0.54184868736576364</v>
      </c>
      <c r="AF62" s="15"/>
      <c r="AG62" s="9">
        <v>3</v>
      </c>
      <c r="AH62" s="10">
        <v>4</v>
      </c>
      <c r="AI62" s="11">
        <v>1.3333333333333333</v>
      </c>
      <c r="AJ62" s="10">
        <v>2</v>
      </c>
      <c r="AK62" s="10">
        <v>1</v>
      </c>
      <c r="AL62" s="15"/>
      <c r="AM62" s="15"/>
      <c r="AN62" s="15"/>
      <c r="AO62" s="15"/>
      <c r="AP62" s="11">
        <v>94.049000000000007</v>
      </c>
      <c r="AQ62" s="11">
        <v>1.867999999999844</v>
      </c>
      <c r="AR62" s="15"/>
      <c r="AS62" s="11">
        <v>3.71</v>
      </c>
      <c r="AT62" s="11">
        <v>0.67000000000000137</v>
      </c>
      <c r="AU62" s="41"/>
    </row>
    <row r="63" spans="1:47" x14ac:dyDescent="0.3">
      <c r="A63" s="200"/>
      <c r="B63" s="100" t="s">
        <v>16</v>
      </c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41"/>
      <c r="R63" s="9">
        <v>2</v>
      </c>
      <c r="S63" s="10">
        <v>4</v>
      </c>
      <c r="T63" s="11">
        <v>2</v>
      </c>
      <c r="U63" s="10">
        <v>2</v>
      </c>
      <c r="V63" s="10">
        <v>1</v>
      </c>
      <c r="W63" s="15"/>
      <c r="X63" s="15"/>
      <c r="Y63" s="15"/>
      <c r="Z63" s="15"/>
      <c r="AA63" s="58">
        <v>72.781999999999996</v>
      </c>
      <c r="AB63" s="58">
        <v>14.195999999999989</v>
      </c>
      <c r="AC63" s="47"/>
      <c r="AD63" s="58">
        <v>6.24</v>
      </c>
      <c r="AE63" s="58">
        <v>0.75</v>
      </c>
      <c r="AF63" s="47"/>
      <c r="AG63" s="9">
        <v>2</v>
      </c>
      <c r="AH63" s="10">
        <v>2</v>
      </c>
      <c r="AI63" s="11">
        <v>1</v>
      </c>
      <c r="AJ63" s="10">
        <v>0</v>
      </c>
      <c r="AK63" s="10">
        <v>0</v>
      </c>
      <c r="AL63" s="15"/>
      <c r="AM63" s="15"/>
      <c r="AN63" s="15"/>
      <c r="AO63" s="15"/>
      <c r="AP63" s="46" t="s">
        <v>45</v>
      </c>
      <c r="AQ63" s="46" t="s">
        <v>45</v>
      </c>
      <c r="AR63" s="47"/>
      <c r="AS63" s="46" t="s">
        <v>45</v>
      </c>
      <c r="AT63" s="46" t="s">
        <v>45</v>
      </c>
      <c r="AU63" s="140"/>
    </row>
    <row r="64" spans="1:47" x14ac:dyDescent="0.3">
      <c r="A64" s="200"/>
      <c r="B64" s="100" t="s">
        <v>19</v>
      </c>
      <c r="C64" s="14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41"/>
      <c r="R64" s="9">
        <v>2</v>
      </c>
      <c r="S64" s="10">
        <v>3</v>
      </c>
      <c r="T64" s="11">
        <v>1.5</v>
      </c>
      <c r="U64" s="10">
        <v>1</v>
      </c>
      <c r="V64" s="10">
        <v>1</v>
      </c>
      <c r="W64" s="15"/>
      <c r="X64" s="15"/>
      <c r="Y64" s="15"/>
      <c r="Z64" s="15"/>
      <c r="AA64" s="58">
        <v>94</v>
      </c>
      <c r="AB64" s="58">
        <v>0</v>
      </c>
      <c r="AC64" s="47"/>
      <c r="AD64" s="58">
        <v>4</v>
      </c>
      <c r="AE64" s="58">
        <v>0</v>
      </c>
      <c r="AF64" s="47"/>
      <c r="AG64" s="9">
        <v>2</v>
      </c>
      <c r="AH64" s="10">
        <v>2</v>
      </c>
      <c r="AI64" s="11">
        <v>1</v>
      </c>
      <c r="AJ64" s="10">
        <v>0</v>
      </c>
      <c r="AK64" s="10">
        <v>0</v>
      </c>
      <c r="AL64" s="15"/>
      <c r="AM64" s="15"/>
      <c r="AN64" s="15"/>
      <c r="AO64" s="15"/>
      <c r="AP64" s="46" t="s">
        <v>45</v>
      </c>
      <c r="AQ64" s="46" t="s">
        <v>45</v>
      </c>
      <c r="AR64" s="47"/>
      <c r="AS64" s="46" t="s">
        <v>45</v>
      </c>
      <c r="AT64" s="46" t="s">
        <v>45</v>
      </c>
      <c r="AU64" s="140"/>
    </row>
    <row r="65" spans="1:47" s="76" customFormat="1" ht="16.5" customHeight="1" x14ac:dyDescent="0.3">
      <c r="A65" s="200"/>
      <c r="B65" s="99" t="s">
        <v>55</v>
      </c>
      <c r="C65" s="78">
        <v>6</v>
      </c>
      <c r="D65" s="79">
        <v>28</v>
      </c>
      <c r="E65" s="80">
        <v>4.666666666666667</v>
      </c>
      <c r="F65" s="79">
        <v>5</v>
      </c>
      <c r="G65" s="79">
        <v>5</v>
      </c>
      <c r="H65" s="87"/>
      <c r="I65" s="88"/>
      <c r="J65" s="89"/>
      <c r="K65" s="88"/>
      <c r="L65" s="80">
        <v>92.437399999999997</v>
      </c>
      <c r="M65" s="81">
        <v>2.8967353762470252</v>
      </c>
      <c r="N65" s="84"/>
      <c r="O65" s="80">
        <v>4.3639999999999999</v>
      </c>
      <c r="P65" s="86">
        <v>0.81629896484069908</v>
      </c>
      <c r="Q65" s="85"/>
      <c r="R65" s="93"/>
      <c r="S65" s="94"/>
      <c r="T65" s="95"/>
      <c r="U65" s="94"/>
      <c r="V65" s="94"/>
      <c r="W65" s="94"/>
      <c r="X65" s="94"/>
      <c r="Y65" s="94"/>
      <c r="Z65" s="94"/>
      <c r="AA65" s="95"/>
      <c r="AB65" s="94"/>
      <c r="AC65" s="96"/>
      <c r="AD65" s="95"/>
      <c r="AE65" s="94"/>
      <c r="AF65" s="96"/>
      <c r="AG65" s="93"/>
      <c r="AH65" s="94"/>
      <c r="AI65" s="95"/>
      <c r="AJ65" s="94"/>
      <c r="AK65" s="94"/>
      <c r="AL65" s="94"/>
      <c r="AM65" s="94"/>
      <c r="AN65" s="94"/>
      <c r="AO65" s="94"/>
      <c r="AP65" s="95"/>
      <c r="AQ65" s="94"/>
      <c r="AR65" s="96"/>
      <c r="AS65" s="95"/>
      <c r="AT65" s="94"/>
      <c r="AU65" s="98"/>
    </row>
    <row r="66" spans="1:47" x14ac:dyDescent="0.3">
      <c r="A66" s="200"/>
      <c r="B66" s="104" t="s">
        <v>12</v>
      </c>
      <c r="C66" s="14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41"/>
      <c r="R66" s="21">
        <v>4</v>
      </c>
      <c r="S66" s="22">
        <v>9</v>
      </c>
      <c r="T66" s="23">
        <v>2.25</v>
      </c>
      <c r="U66" s="22">
        <v>2</v>
      </c>
      <c r="V66" s="22">
        <v>5</v>
      </c>
      <c r="W66" s="24"/>
      <c r="X66" s="24"/>
      <c r="Y66" s="24"/>
      <c r="Z66" s="24"/>
      <c r="AA66" s="61">
        <v>79.061499999999995</v>
      </c>
      <c r="AB66" s="61">
        <v>14.938500000000047</v>
      </c>
      <c r="AC66" s="24"/>
      <c r="AD66" s="61">
        <v>5.3100000000000005</v>
      </c>
      <c r="AE66" s="61">
        <v>1.3099999999999989</v>
      </c>
      <c r="AF66" s="24"/>
      <c r="AG66" s="21">
        <v>4</v>
      </c>
      <c r="AH66" s="22">
        <v>10</v>
      </c>
      <c r="AI66" s="23">
        <v>2.5</v>
      </c>
      <c r="AJ66" s="22">
        <v>4</v>
      </c>
      <c r="AK66" s="22">
        <v>4</v>
      </c>
      <c r="AL66" s="24"/>
      <c r="AM66" s="24"/>
      <c r="AN66" s="24"/>
      <c r="AO66" s="24"/>
      <c r="AP66" s="23">
        <v>92.021250000000009</v>
      </c>
      <c r="AQ66" s="23">
        <v>5.0198818897956157</v>
      </c>
      <c r="AR66" s="24"/>
      <c r="AS66" s="23">
        <v>3.8775000000000004</v>
      </c>
      <c r="AT66" s="23">
        <v>1.2538814736648738</v>
      </c>
      <c r="AU66" s="141"/>
    </row>
    <row r="67" spans="1:47" x14ac:dyDescent="0.3">
      <c r="A67" s="200"/>
      <c r="B67" s="100" t="s">
        <v>13</v>
      </c>
      <c r="C67" s="14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41"/>
      <c r="R67" s="14"/>
      <c r="S67" s="15"/>
      <c r="T67" s="16"/>
      <c r="U67" s="15"/>
      <c r="V67" s="15"/>
      <c r="W67" s="15"/>
      <c r="X67" s="15"/>
      <c r="Y67" s="15"/>
      <c r="Z67" s="15"/>
      <c r="AA67" s="53"/>
      <c r="AB67" s="53"/>
      <c r="AC67" s="15"/>
      <c r="AD67" s="53"/>
      <c r="AE67" s="53"/>
      <c r="AF67" s="15"/>
      <c r="AG67" s="9">
        <v>2</v>
      </c>
      <c r="AH67" s="10">
        <v>3</v>
      </c>
      <c r="AI67" s="11">
        <v>1.5</v>
      </c>
      <c r="AJ67" s="10">
        <v>1</v>
      </c>
      <c r="AK67" s="10">
        <v>1</v>
      </c>
      <c r="AL67" s="15"/>
      <c r="AM67" s="15"/>
      <c r="AN67" s="15"/>
      <c r="AO67" s="15"/>
      <c r="AP67" s="11">
        <v>93.751000000000005</v>
      </c>
      <c r="AQ67" s="11">
        <v>0</v>
      </c>
      <c r="AR67" s="15"/>
      <c r="AS67" s="11">
        <v>4.12</v>
      </c>
      <c r="AT67" s="11">
        <v>0</v>
      </c>
      <c r="AU67" s="41"/>
    </row>
    <row r="68" spans="1:47" x14ac:dyDescent="0.3">
      <c r="A68" s="200"/>
      <c r="B68" s="100" t="s">
        <v>48</v>
      </c>
      <c r="C68" s="14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41"/>
      <c r="R68" s="9">
        <v>5</v>
      </c>
      <c r="S68" s="10">
        <v>9</v>
      </c>
      <c r="T68" s="11">
        <v>1.8</v>
      </c>
      <c r="U68" s="10">
        <v>5</v>
      </c>
      <c r="V68" s="10">
        <v>3</v>
      </c>
      <c r="W68" s="15"/>
      <c r="X68" s="15"/>
      <c r="Y68" s="15"/>
      <c r="Z68" s="15"/>
      <c r="AA68" s="50">
        <v>82.713400000000007</v>
      </c>
      <c r="AB68" s="50">
        <v>12.348015639769768</v>
      </c>
      <c r="AC68" s="15"/>
      <c r="AD68" s="50">
        <v>5.1539999999999999</v>
      </c>
      <c r="AE68" s="50">
        <v>1.3736462426694871</v>
      </c>
      <c r="AF68" s="15"/>
      <c r="AG68" s="9">
        <v>5</v>
      </c>
      <c r="AH68" s="10">
        <v>8</v>
      </c>
      <c r="AI68" s="11">
        <v>1.6</v>
      </c>
      <c r="AJ68" s="10">
        <v>4</v>
      </c>
      <c r="AK68" s="10">
        <v>3</v>
      </c>
      <c r="AL68" s="15"/>
      <c r="AM68" s="15"/>
      <c r="AN68" s="15"/>
      <c r="AO68" s="15"/>
      <c r="AP68" s="11">
        <v>84.093000000000004</v>
      </c>
      <c r="AQ68" s="11">
        <v>5.750179692844327</v>
      </c>
      <c r="AR68" s="15"/>
      <c r="AS68" s="11">
        <v>5.3250000000000002</v>
      </c>
      <c r="AT68" s="11">
        <v>0.53054217551481886</v>
      </c>
      <c r="AU68" s="41"/>
    </row>
    <row r="69" spans="1:47" s="76" customFormat="1" ht="16.5" customHeight="1" x14ac:dyDescent="0.3">
      <c r="A69" s="200"/>
      <c r="B69" s="99" t="s">
        <v>56</v>
      </c>
      <c r="C69" s="78">
        <v>2</v>
      </c>
      <c r="D69" s="79">
        <v>4</v>
      </c>
      <c r="E69" s="80">
        <v>2</v>
      </c>
      <c r="F69" s="79">
        <v>2</v>
      </c>
      <c r="G69" s="90">
        <v>0</v>
      </c>
      <c r="H69" s="87"/>
      <c r="I69" s="88"/>
      <c r="J69" s="89"/>
      <c r="K69" s="88"/>
      <c r="L69" s="80">
        <v>90.456500000000005</v>
      </c>
      <c r="M69" s="81">
        <v>1.2504999999997719</v>
      </c>
      <c r="N69" s="84"/>
      <c r="O69" s="80">
        <v>5.3000000000000007</v>
      </c>
      <c r="P69" s="86">
        <v>0.149999999999991</v>
      </c>
      <c r="Q69" s="85"/>
      <c r="R69" s="9">
        <v>2</v>
      </c>
      <c r="S69" s="10">
        <v>3</v>
      </c>
      <c r="T69" s="11">
        <v>1.5</v>
      </c>
      <c r="U69" s="10">
        <v>0</v>
      </c>
      <c r="V69" s="10">
        <v>1</v>
      </c>
      <c r="W69" s="15"/>
      <c r="X69" s="15"/>
      <c r="Y69" s="15"/>
      <c r="Z69" s="15"/>
      <c r="AA69" s="60" t="s">
        <v>49</v>
      </c>
      <c r="AB69" s="60" t="s">
        <v>49</v>
      </c>
      <c r="AC69" s="15"/>
      <c r="AD69" s="60" t="s">
        <v>49</v>
      </c>
      <c r="AE69" s="60" t="s">
        <v>49</v>
      </c>
      <c r="AF69" s="15"/>
      <c r="AG69" s="14"/>
      <c r="AH69" s="15"/>
      <c r="AI69" s="16"/>
      <c r="AJ69" s="15"/>
      <c r="AK69" s="15"/>
      <c r="AL69" s="15"/>
      <c r="AM69" s="15"/>
      <c r="AN69" s="15"/>
      <c r="AO69" s="15"/>
      <c r="AP69" s="16"/>
      <c r="AQ69" s="16"/>
      <c r="AR69" s="15"/>
      <c r="AS69" s="16"/>
      <c r="AT69" s="16"/>
      <c r="AU69" s="41"/>
    </row>
    <row r="70" spans="1:47" s="76" customFormat="1" ht="16.5" customHeight="1" x14ac:dyDescent="0.3">
      <c r="A70" s="200"/>
      <c r="B70" s="99" t="s">
        <v>57</v>
      </c>
      <c r="C70" s="78">
        <v>4</v>
      </c>
      <c r="D70" s="79">
        <v>4</v>
      </c>
      <c r="E70" s="80">
        <v>1</v>
      </c>
      <c r="F70" s="79">
        <v>3</v>
      </c>
      <c r="G70" s="90" t="s">
        <v>70</v>
      </c>
      <c r="H70" s="87"/>
      <c r="I70" s="88"/>
      <c r="J70" s="89"/>
      <c r="K70" s="88"/>
      <c r="L70" s="80">
        <v>69.046333333333337</v>
      </c>
      <c r="M70" s="81">
        <v>18.605416242469708</v>
      </c>
      <c r="N70" s="84"/>
      <c r="O70" s="80">
        <v>6.3</v>
      </c>
      <c r="P70" s="86">
        <v>0.86166505480185018</v>
      </c>
      <c r="Q70" s="85"/>
      <c r="R70" s="93"/>
      <c r="S70" s="94"/>
      <c r="T70" s="95"/>
      <c r="U70" s="94"/>
      <c r="V70" s="94"/>
      <c r="W70" s="94"/>
      <c r="X70" s="94"/>
      <c r="Y70" s="94"/>
      <c r="Z70" s="94"/>
      <c r="AA70" s="95"/>
      <c r="AB70" s="94"/>
      <c r="AC70" s="96"/>
      <c r="AD70" s="95"/>
      <c r="AE70" s="94"/>
      <c r="AF70" s="96"/>
      <c r="AG70" s="93"/>
      <c r="AH70" s="94"/>
      <c r="AI70" s="95"/>
      <c r="AJ70" s="94"/>
      <c r="AK70" s="94"/>
      <c r="AL70" s="94"/>
      <c r="AM70" s="94"/>
      <c r="AN70" s="94"/>
      <c r="AO70" s="94"/>
      <c r="AP70" s="95"/>
      <c r="AQ70" s="94"/>
      <c r="AR70" s="96"/>
      <c r="AS70" s="95"/>
      <c r="AT70" s="94"/>
      <c r="AU70" s="98"/>
    </row>
    <row r="71" spans="1:47" x14ac:dyDescent="0.3">
      <c r="A71" s="200"/>
      <c r="B71" s="100" t="s">
        <v>50</v>
      </c>
      <c r="C71" s="14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41"/>
      <c r="R71" s="9">
        <v>3</v>
      </c>
      <c r="S71" s="10">
        <v>4</v>
      </c>
      <c r="T71" s="11">
        <v>1.3333333333333333</v>
      </c>
      <c r="U71" s="10">
        <v>2</v>
      </c>
      <c r="V71" s="45" t="s">
        <v>51</v>
      </c>
      <c r="W71" s="15"/>
      <c r="X71" s="15"/>
      <c r="Y71" s="15"/>
      <c r="Z71" s="15"/>
      <c r="AA71" s="50">
        <v>85.423000000000002</v>
      </c>
      <c r="AB71" s="50">
        <v>2.7410000000000103</v>
      </c>
      <c r="AC71" s="15"/>
      <c r="AD71" s="50">
        <v>5.4700000000000006</v>
      </c>
      <c r="AE71" s="50">
        <v>9.9999999999972292E-2</v>
      </c>
      <c r="AF71" s="15"/>
      <c r="AG71" s="9">
        <v>3</v>
      </c>
      <c r="AH71" s="10">
        <v>5</v>
      </c>
      <c r="AI71" s="11">
        <v>1.6666666666666667</v>
      </c>
      <c r="AJ71" s="10">
        <v>1</v>
      </c>
      <c r="AK71" s="10">
        <v>2</v>
      </c>
      <c r="AL71" s="15"/>
      <c r="AM71" s="15"/>
      <c r="AN71" s="15"/>
      <c r="AO71" s="15"/>
      <c r="AP71" s="11">
        <v>93.983000000000004</v>
      </c>
      <c r="AQ71" s="11">
        <v>0</v>
      </c>
      <c r="AR71" s="15"/>
      <c r="AS71" s="11">
        <v>3.77</v>
      </c>
      <c r="AT71" s="11">
        <v>0</v>
      </c>
      <c r="AU71" s="41"/>
    </row>
    <row r="72" spans="1:47" x14ac:dyDescent="0.3">
      <c r="A72" s="200"/>
      <c r="B72" s="100" t="s">
        <v>21</v>
      </c>
      <c r="C72" s="14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41"/>
      <c r="R72" s="9">
        <v>2</v>
      </c>
      <c r="S72" s="10">
        <v>3</v>
      </c>
      <c r="T72" s="11">
        <v>1.5</v>
      </c>
      <c r="U72" s="10">
        <v>0</v>
      </c>
      <c r="V72" s="10">
        <v>1</v>
      </c>
      <c r="W72" s="15"/>
      <c r="X72" s="15"/>
      <c r="Y72" s="15"/>
      <c r="Z72" s="15"/>
      <c r="AA72" s="60" t="s">
        <v>49</v>
      </c>
      <c r="AB72" s="60" t="s">
        <v>49</v>
      </c>
      <c r="AC72" s="47"/>
      <c r="AD72" s="60" t="s">
        <v>49</v>
      </c>
      <c r="AE72" s="60" t="s">
        <v>49</v>
      </c>
      <c r="AF72" s="47"/>
      <c r="AG72" s="9">
        <v>2</v>
      </c>
      <c r="AH72" s="10">
        <v>2</v>
      </c>
      <c r="AI72" s="11">
        <v>1</v>
      </c>
      <c r="AJ72" s="10">
        <v>0</v>
      </c>
      <c r="AK72" s="10">
        <v>0</v>
      </c>
      <c r="AL72" s="15"/>
      <c r="AM72" s="15"/>
      <c r="AN72" s="15"/>
      <c r="AO72" s="15"/>
      <c r="AP72" s="46" t="s">
        <v>45</v>
      </c>
      <c r="AQ72" s="46" t="s">
        <v>45</v>
      </c>
      <c r="AR72" s="47"/>
      <c r="AS72" s="46" t="s">
        <v>45</v>
      </c>
      <c r="AT72" s="46" t="s">
        <v>45</v>
      </c>
      <c r="AU72" s="140"/>
    </row>
    <row r="73" spans="1:47" s="76" customFormat="1" ht="16.5" customHeight="1" x14ac:dyDescent="0.3">
      <c r="A73" s="200"/>
      <c r="B73" s="99" t="s">
        <v>58</v>
      </c>
      <c r="C73" s="78">
        <v>4</v>
      </c>
      <c r="D73" s="79">
        <v>7</v>
      </c>
      <c r="E73" s="80">
        <v>1.75</v>
      </c>
      <c r="F73" s="79">
        <v>0</v>
      </c>
      <c r="G73" s="79">
        <v>3</v>
      </c>
      <c r="H73" s="87"/>
      <c r="I73" s="88"/>
      <c r="J73" s="89"/>
      <c r="K73" s="88"/>
      <c r="L73" s="92" t="s">
        <v>74</v>
      </c>
      <c r="M73" s="92" t="s">
        <v>74</v>
      </c>
      <c r="N73" s="84"/>
      <c r="O73" s="92" t="s">
        <v>74</v>
      </c>
      <c r="P73" s="92" t="s">
        <v>74</v>
      </c>
      <c r="Q73" s="85"/>
      <c r="R73" s="93"/>
      <c r="S73" s="94"/>
      <c r="T73" s="95"/>
      <c r="U73" s="94"/>
      <c r="V73" s="94"/>
      <c r="W73" s="94"/>
      <c r="X73" s="94"/>
      <c r="Y73" s="94"/>
      <c r="Z73" s="94"/>
      <c r="AA73" s="95"/>
      <c r="AB73" s="94"/>
      <c r="AC73" s="96"/>
      <c r="AD73" s="95"/>
      <c r="AE73" s="94"/>
      <c r="AF73" s="96"/>
      <c r="AG73" s="93"/>
      <c r="AH73" s="94"/>
      <c r="AI73" s="95"/>
      <c r="AJ73" s="94"/>
      <c r="AK73" s="94"/>
      <c r="AL73" s="94"/>
      <c r="AM73" s="94"/>
      <c r="AN73" s="94"/>
      <c r="AO73" s="94"/>
      <c r="AP73" s="95"/>
      <c r="AQ73" s="94"/>
      <c r="AR73" s="96"/>
      <c r="AS73" s="95"/>
      <c r="AT73" s="94"/>
      <c r="AU73" s="98"/>
    </row>
    <row r="74" spans="1:47" x14ac:dyDescent="0.3">
      <c r="A74" s="200"/>
      <c r="B74" s="100" t="s">
        <v>36</v>
      </c>
      <c r="C74" s="14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41"/>
      <c r="R74" s="9">
        <v>1</v>
      </c>
      <c r="S74" s="10">
        <v>1</v>
      </c>
      <c r="T74" s="11">
        <v>1</v>
      </c>
      <c r="U74" s="10">
        <v>1</v>
      </c>
      <c r="V74" s="45" t="s">
        <v>51</v>
      </c>
      <c r="W74" s="15"/>
      <c r="X74" s="15"/>
      <c r="Y74" s="15"/>
      <c r="Z74" s="15"/>
      <c r="AA74" s="58">
        <v>81.908000000000001</v>
      </c>
      <c r="AB74" s="58">
        <v>0</v>
      </c>
      <c r="AC74" s="47"/>
      <c r="AD74" s="58">
        <v>5.85</v>
      </c>
      <c r="AE74" s="58">
        <v>0</v>
      </c>
      <c r="AF74" s="47"/>
      <c r="AG74" s="9">
        <v>1</v>
      </c>
      <c r="AH74" s="10">
        <v>2</v>
      </c>
      <c r="AI74" s="11">
        <v>2</v>
      </c>
      <c r="AJ74" s="10">
        <v>0</v>
      </c>
      <c r="AK74" s="10">
        <v>0</v>
      </c>
      <c r="AL74" s="15"/>
      <c r="AM74" s="15"/>
      <c r="AN74" s="15"/>
      <c r="AO74" s="15"/>
      <c r="AP74" s="46" t="s">
        <v>45</v>
      </c>
      <c r="AQ74" s="46" t="s">
        <v>45</v>
      </c>
      <c r="AR74" s="47"/>
      <c r="AS74" s="46" t="s">
        <v>45</v>
      </c>
      <c r="AT74" s="46" t="s">
        <v>45</v>
      </c>
      <c r="AU74" s="140"/>
    </row>
    <row r="75" spans="1:47" x14ac:dyDescent="0.3">
      <c r="A75" s="200"/>
      <c r="B75" s="100" t="s">
        <v>15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41"/>
      <c r="R75" s="9">
        <v>5</v>
      </c>
      <c r="S75" s="10">
        <v>16</v>
      </c>
      <c r="T75" s="11">
        <v>3.2</v>
      </c>
      <c r="U75" s="10">
        <v>5</v>
      </c>
      <c r="V75" s="10">
        <v>10</v>
      </c>
      <c r="W75" s="15"/>
      <c r="X75" s="15"/>
      <c r="Y75" s="15"/>
      <c r="Z75" s="15"/>
      <c r="AA75" s="50">
        <v>81.7958</v>
      </c>
      <c r="AB75" s="50">
        <v>9.3617595867443875</v>
      </c>
      <c r="AC75" s="15"/>
      <c r="AD75" s="50">
        <v>5.7279999999999998</v>
      </c>
      <c r="AE75" s="50">
        <v>0.71942755020919491</v>
      </c>
      <c r="AF75" s="15"/>
      <c r="AG75" s="9">
        <v>5</v>
      </c>
      <c r="AH75" s="10">
        <v>11</v>
      </c>
      <c r="AI75" s="11">
        <v>2.2000000000000002</v>
      </c>
      <c r="AJ75" s="10">
        <v>4</v>
      </c>
      <c r="AK75" s="10">
        <v>6</v>
      </c>
      <c r="AL75" s="15"/>
      <c r="AM75" s="15"/>
      <c r="AN75" s="15"/>
      <c r="AO75" s="15"/>
      <c r="AP75" s="11">
        <v>80.889750000000006</v>
      </c>
      <c r="AQ75" s="11">
        <v>8.0275607246223046</v>
      </c>
      <c r="AR75" s="15"/>
      <c r="AS75" s="11">
        <v>5.4849999999999994</v>
      </c>
      <c r="AT75" s="11">
        <v>0.40190172928217738</v>
      </c>
      <c r="AU75" s="41"/>
    </row>
    <row r="76" spans="1:47" s="76" customFormat="1" ht="16.5" customHeight="1" x14ac:dyDescent="0.3">
      <c r="A76" s="200"/>
      <c r="B76" s="99" t="s">
        <v>59</v>
      </c>
      <c r="C76" s="78">
        <v>5</v>
      </c>
      <c r="D76" s="79">
        <v>16</v>
      </c>
      <c r="E76" s="80">
        <v>3.2</v>
      </c>
      <c r="F76" s="79">
        <v>4</v>
      </c>
      <c r="G76" s="79">
        <v>8</v>
      </c>
      <c r="H76" s="87"/>
      <c r="I76" s="88"/>
      <c r="J76" s="89"/>
      <c r="K76" s="88"/>
      <c r="L76" s="80">
        <v>91.74475000000001</v>
      </c>
      <c r="M76" s="81">
        <v>3.8122203749914436</v>
      </c>
      <c r="N76" s="84"/>
      <c r="O76" s="80">
        <v>4.125</v>
      </c>
      <c r="P76" s="86">
        <v>0.90731747475732039</v>
      </c>
      <c r="Q76" s="85"/>
      <c r="R76" s="9">
        <v>7</v>
      </c>
      <c r="S76" s="10">
        <v>19</v>
      </c>
      <c r="T76" s="11">
        <v>2.7142857142857144</v>
      </c>
      <c r="U76" s="10">
        <v>6</v>
      </c>
      <c r="V76" s="10">
        <v>10</v>
      </c>
      <c r="W76" s="15"/>
      <c r="X76" s="15"/>
      <c r="Y76" s="15"/>
      <c r="Z76" s="15"/>
      <c r="AA76" s="50">
        <v>90.051333333333346</v>
      </c>
      <c r="AB76" s="50">
        <v>5.9017532611550045</v>
      </c>
      <c r="AC76" s="15"/>
      <c r="AD76" s="50">
        <v>4.5549999999999997</v>
      </c>
      <c r="AE76" s="50">
        <v>1.0244795426621942</v>
      </c>
      <c r="AF76" s="15"/>
      <c r="AG76" s="9">
        <v>7</v>
      </c>
      <c r="AH76" s="10">
        <v>26</v>
      </c>
      <c r="AI76" s="11">
        <v>3.7142857142857144</v>
      </c>
      <c r="AJ76" s="10">
        <v>6</v>
      </c>
      <c r="AK76" s="10">
        <v>12</v>
      </c>
      <c r="AL76" s="15"/>
      <c r="AM76" s="15"/>
      <c r="AN76" s="15"/>
      <c r="AO76" s="15"/>
      <c r="AP76" s="11">
        <v>91.388666666666666</v>
      </c>
      <c r="AQ76" s="11">
        <v>3.4894963183181131</v>
      </c>
      <c r="AR76" s="15"/>
      <c r="AS76" s="11">
        <v>4.38</v>
      </c>
      <c r="AT76" s="11">
        <v>0.87177978870813488</v>
      </c>
      <c r="AU76" s="41"/>
    </row>
    <row r="77" spans="1:47" s="76" customFormat="1" ht="16.5" customHeight="1" x14ac:dyDescent="0.3">
      <c r="A77" s="200"/>
      <c r="B77" s="99" t="s">
        <v>60</v>
      </c>
      <c r="C77" s="78">
        <v>4</v>
      </c>
      <c r="D77" s="79">
        <v>18</v>
      </c>
      <c r="E77" s="80">
        <v>4.5</v>
      </c>
      <c r="F77" s="79">
        <v>4</v>
      </c>
      <c r="G77" s="79">
        <v>10</v>
      </c>
      <c r="H77" s="87"/>
      <c r="I77" s="88"/>
      <c r="J77" s="89"/>
      <c r="K77" s="88"/>
      <c r="L77" s="80">
        <v>93.72475</v>
      </c>
      <c r="M77" s="81">
        <v>2.3327643874811286</v>
      </c>
      <c r="N77" s="84"/>
      <c r="O77" s="80">
        <v>3.89</v>
      </c>
      <c r="P77" s="86">
        <v>0.77100583655378274</v>
      </c>
      <c r="Q77" s="85"/>
      <c r="R77" s="93"/>
      <c r="S77" s="94"/>
      <c r="T77" s="95"/>
      <c r="U77" s="94"/>
      <c r="V77" s="94"/>
      <c r="W77" s="94"/>
      <c r="X77" s="94"/>
      <c r="Y77" s="94"/>
      <c r="Z77" s="94"/>
      <c r="AA77" s="95"/>
      <c r="AB77" s="94"/>
      <c r="AC77" s="96"/>
      <c r="AD77" s="95"/>
      <c r="AE77" s="94"/>
      <c r="AF77" s="96"/>
      <c r="AG77" s="93"/>
      <c r="AH77" s="94"/>
      <c r="AI77" s="95"/>
      <c r="AJ77" s="94"/>
      <c r="AK77" s="94"/>
      <c r="AL77" s="94"/>
      <c r="AM77" s="94"/>
      <c r="AN77" s="94"/>
      <c r="AO77" s="94"/>
      <c r="AP77" s="95"/>
      <c r="AQ77" s="94"/>
      <c r="AR77" s="96"/>
      <c r="AS77" s="95"/>
      <c r="AT77" s="94"/>
      <c r="AU77" s="98"/>
    </row>
    <row r="78" spans="1:47" x14ac:dyDescent="0.3">
      <c r="A78" s="200"/>
      <c r="B78" s="100" t="s">
        <v>17</v>
      </c>
      <c r="C78" s="14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41"/>
      <c r="R78" s="9">
        <v>3</v>
      </c>
      <c r="S78" s="10">
        <v>7</v>
      </c>
      <c r="T78" s="11">
        <v>2.3333333333333335</v>
      </c>
      <c r="U78" s="10">
        <v>3</v>
      </c>
      <c r="V78" s="10">
        <v>2</v>
      </c>
      <c r="W78" s="15"/>
      <c r="X78" s="15"/>
      <c r="Y78" s="15"/>
      <c r="Z78" s="15"/>
      <c r="AA78" s="50">
        <v>94.196000000000012</v>
      </c>
      <c r="AB78" s="50">
        <v>1.0607943564452178</v>
      </c>
      <c r="AC78" s="15"/>
      <c r="AD78" s="50">
        <v>3.9</v>
      </c>
      <c r="AE78" s="50">
        <v>0.53147593234940638</v>
      </c>
      <c r="AF78" s="15"/>
      <c r="AG78" s="9">
        <v>3</v>
      </c>
      <c r="AH78" s="10">
        <v>13</v>
      </c>
      <c r="AI78" s="11">
        <v>4.333333333333333</v>
      </c>
      <c r="AJ78" s="10">
        <v>3</v>
      </c>
      <c r="AK78" s="10">
        <v>0</v>
      </c>
      <c r="AL78" s="15"/>
      <c r="AM78" s="15"/>
      <c r="AN78" s="15"/>
      <c r="AO78" s="15"/>
      <c r="AP78" s="11">
        <v>95.212666666666664</v>
      </c>
      <c r="AQ78" s="11">
        <v>0.16085258952736831</v>
      </c>
      <c r="AR78" s="15"/>
      <c r="AS78" s="11">
        <v>3.3933333333333331</v>
      </c>
      <c r="AT78" s="11">
        <v>8.0553639823958148E-2</v>
      </c>
      <c r="AU78" s="41"/>
    </row>
    <row r="79" spans="1:47" x14ac:dyDescent="0.3">
      <c r="A79" s="200"/>
      <c r="B79" s="100" t="s">
        <v>18</v>
      </c>
      <c r="C79" s="14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41"/>
      <c r="R79" s="9">
        <v>3</v>
      </c>
      <c r="S79" s="10">
        <v>6</v>
      </c>
      <c r="T79" s="11">
        <v>2</v>
      </c>
      <c r="U79" s="10">
        <v>1</v>
      </c>
      <c r="V79" s="10">
        <v>3</v>
      </c>
      <c r="W79" s="15"/>
      <c r="X79" s="15"/>
      <c r="Y79" s="15"/>
      <c r="Z79" s="15"/>
      <c r="AA79" s="50">
        <v>94</v>
      </c>
      <c r="AB79" s="50">
        <v>0</v>
      </c>
      <c r="AC79" s="15"/>
      <c r="AD79" s="50">
        <v>4</v>
      </c>
      <c r="AE79" s="50">
        <v>0</v>
      </c>
      <c r="AF79" s="15"/>
      <c r="AG79" s="9">
        <v>3</v>
      </c>
      <c r="AH79" s="10">
        <v>14</v>
      </c>
      <c r="AI79" s="11">
        <v>4.666666666666667</v>
      </c>
      <c r="AJ79" s="10">
        <v>3</v>
      </c>
      <c r="AK79" s="10">
        <v>8</v>
      </c>
      <c r="AL79" s="15"/>
      <c r="AM79" s="15"/>
      <c r="AN79" s="15"/>
      <c r="AO79" s="15"/>
      <c r="AP79" s="11">
        <v>91.396000000000001</v>
      </c>
      <c r="AQ79" s="11">
        <v>2.0451099399953994</v>
      </c>
      <c r="AR79" s="15"/>
      <c r="AS79" s="11">
        <v>4.3033333333333337</v>
      </c>
      <c r="AT79" s="11">
        <v>0.28778850258865635</v>
      </c>
      <c r="AU79" s="41"/>
    </row>
    <row r="80" spans="1:47" s="76" customFormat="1" ht="16.5" customHeight="1" x14ac:dyDescent="0.3">
      <c r="A80" s="200"/>
      <c r="B80" s="99" t="s">
        <v>61</v>
      </c>
      <c r="C80" s="78">
        <v>2</v>
      </c>
      <c r="D80" s="79">
        <v>6</v>
      </c>
      <c r="E80" s="80">
        <v>3</v>
      </c>
      <c r="F80" s="79">
        <v>2</v>
      </c>
      <c r="G80" s="79">
        <v>2</v>
      </c>
      <c r="H80" s="87"/>
      <c r="I80" s="88"/>
      <c r="J80" s="89"/>
      <c r="K80" s="88"/>
      <c r="L80" s="80">
        <v>85.029499999999999</v>
      </c>
      <c r="M80" s="81">
        <v>1.1005000000002394</v>
      </c>
      <c r="N80" s="84"/>
      <c r="O80" s="80">
        <v>5.7149999999999999</v>
      </c>
      <c r="P80" s="86">
        <v>0.29499999999999493</v>
      </c>
      <c r="Q80" s="85"/>
      <c r="R80" s="9">
        <v>2</v>
      </c>
      <c r="S80" s="10">
        <v>4</v>
      </c>
      <c r="T80" s="11">
        <v>2</v>
      </c>
      <c r="U80" s="10">
        <v>2</v>
      </c>
      <c r="V80" s="10">
        <v>1</v>
      </c>
      <c r="W80" s="15"/>
      <c r="X80" s="15"/>
      <c r="Y80" s="15"/>
      <c r="Z80" s="15"/>
      <c r="AA80" s="50">
        <v>89.485500000000002</v>
      </c>
      <c r="AB80" s="50">
        <v>2.0564999999999682</v>
      </c>
      <c r="AC80" s="15"/>
      <c r="AD80" s="50">
        <v>5.1150000000000002</v>
      </c>
      <c r="AE80" s="50">
        <v>0.37500000000000472</v>
      </c>
      <c r="AF80" s="15"/>
      <c r="AG80" s="9">
        <v>2</v>
      </c>
      <c r="AH80" s="10">
        <v>4</v>
      </c>
      <c r="AI80" s="11">
        <v>2</v>
      </c>
      <c r="AJ80" s="10">
        <v>2</v>
      </c>
      <c r="AK80" s="10">
        <v>0</v>
      </c>
      <c r="AL80" s="15"/>
      <c r="AM80" s="15"/>
      <c r="AN80" s="15"/>
      <c r="AO80" s="15"/>
      <c r="AP80" s="11">
        <v>84.126000000000005</v>
      </c>
      <c r="AQ80" s="11">
        <v>7.8639999999999555</v>
      </c>
      <c r="AR80" s="15"/>
      <c r="AS80" s="11">
        <v>5.17</v>
      </c>
      <c r="AT80" s="11">
        <v>0.52000000000000213</v>
      </c>
      <c r="AU80" s="41"/>
    </row>
    <row r="81" spans="1:47" s="76" customFormat="1" ht="16.5" customHeight="1" x14ac:dyDescent="0.3">
      <c r="A81" s="200"/>
      <c r="B81" s="99" t="s">
        <v>62</v>
      </c>
      <c r="C81" s="78">
        <v>4</v>
      </c>
      <c r="D81" s="79">
        <v>7</v>
      </c>
      <c r="E81" s="80">
        <v>1.75</v>
      </c>
      <c r="F81" s="79">
        <v>1</v>
      </c>
      <c r="G81" s="79">
        <v>3</v>
      </c>
      <c r="H81" s="87"/>
      <c r="I81" s="88"/>
      <c r="J81" s="89"/>
      <c r="K81" s="88"/>
      <c r="L81" s="80">
        <v>62.496000000000002</v>
      </c>
      <c r="M81" s="81">
        <v>0</v>
      </c>
      <c r="N81" s="84"/>
      <c r="O81" s="80">
        <v>7.01</v>
      </c>
      <c r="P81" s="86">
        <v>0</v>
      </c>
      <c r="Q81" s="85"/>
      <c r="R81" s="93"/>
      <c r="S81" s="94"/>
      <c r="T81" s="95"/>
      <c r="U81" s="94"/>
      <c r="V81" s="94"/>
      <c r="W81" s="94"/>
      <c r="X81" s="94"/>
      <c r="Y81" s="94"/>
      <c r="Z81" s="94"/>
      <c r="AA81" s="95"/>
      <c r="AB81" s="94"/>
      <c r="AC81" s="96"/>
      <c r="AD81" s="95"/>
      <c r="AE81" s="94"/>
      <c r="AF81" s="96"/>
      <c r="AG81" s="93"/>
      <c r="AH81" s="94"/>
      <c r="AI81" s="95"/>
      <c r="AJ81" s="94"/>
      <c r="AK81" s="94"/>
      <c r="AL81" s="94"/>
      <c r="AM81" s="94"/>
      <c r="AN81" s="94"/>
      <c r="AO81" s="94"/>
      <c r="AP81" s="95"/>
      <c r="AQ81" s="94"/>
      <c r="AR81" s="96"/>
      <c r="AS81" s="95"/>
      <c r="AT81" s="94"/>
      <c r="AU81" s="98"/>
    </row>
    <row r="82" spans="1:47" x14ac:dyDescent="0.3">
      <c r="A82" s="200"/>
      <c r="B82" s="100" t="s">
        <v>38</v>
      </c>
      <c r="C82" s="14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41"/>
      <c r="R82" s="9">
        <v>1</v>
      </c>
      <c r="S82" s="10">
        <v>3</v>
      </c>
      <c r="T82" s="11">
        <v>3</v>
      </c>
      <c r="U82" s="10">
        <v>0</v>
      </c>
      <c r="V82" s="10">
        <v>2</v>
      </c>
      <c r="W82" s="15"/>
      <c r="X82" s="15"/>
      <c r="Y82" s="15"/>
      <c r="Z82" s="15"/>
      <c r="AA82" s="60" t="s">
        <v>49</v>
      </c>
      <c r="AB82" s="60" t="s">
        <v>49</v>
      </c>
      <c r="AC82" s="15"/>
      <c r="AD82" s="60" t="s">
        <v>49</v>
      </c>
      <c r="AE82" s="60" t="s">
        <v>49</v>
      </c>
      <c r="AF82" s="15"/>
      <c r="AG82" s="9">
        <v>2</v>
      </c>
      <c r="AH82" s="10">
        <v>3</v>
      </c>
      <c r="AI82" s="11">
        <v>1.5</v>
      </c>
      <c r="AJ82" s="10">
        <v>1</v>
      </c>
      <c r="AK82" s="10">
        <v>0</v>
      </c>
      <c r="AL82" s="15"/>
      <c r="AM82" s="15"/>
      <c r="AN82" s="15"/>
      <c r="AO82" s="15"/>
      <c r="AP82" s="11">
        <v>67.903999999999996</v>
      </c>
      <c r="AQ82" s="11">
        <v>0</v>
      </c>
      <c r="AR82" s="15"/>
      <c r="AS82" s="11">
        <v>6.24</v>
      </c>
      <c r="AT82" s="11">
        <v>0</v>
      </c>
      <c r="AU82" s="41"/>
    </row>
    <row r="83" spans="1:47" x14ac:dyDescent="0.3">
      <c r="A83" s="200"/>
      <c r="B83" s="100" t="s">
        <v>40</v>
      </c>
      <c r="C83" s="14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41"/>
      <c r="R83" s="9">
        <v>2</v>
      </c>
      <c r="S83" s="10">
        <v>4</v>
      </c>
      <c r="T83" s="11">
        <v>2</v>
      </c>
      <c r="U83" s="10">
        <v>2</v>
      </c>
      <c r="V83" s="45" t="s">
        <v>51</v>
      </c>
      <c r="W83" s="15"/>
      <c r="X83" s="15"/>
      <c r="Y83" s="15"/>
      <c r="Z83" s="15"/>
      <c r="AA83" s="58">
        <v>90.043499999999995</v>
      </c>
      <c r="AB83" s="58">
        <v>2.5845000000002485</v>
      </c>
      <c r="AC83" s="47"/>
      <c r="AD83" s="58">
        <v>5.12</v>
      </c>
      <c r="AE83" s="58">
        <v>0.42999999999999877</v>
      </c>
      <c r="AF83" s="47"/>
      <c r="AG83" s="9">
        <v>1</v>
      </c>
      <c r="AH83" s="10">
        <v>3</v>
      </c>
      <c r="AI83" s="11">
        <v>3</v>
      </c>
      <c r="AJ83" s="10">
        <v>0</v>
      </c>
      <c r="AK83" s="10">
        <v>2</v>
      </c>
      <c r="AL83" s="15"/>
      <c r="AM83" s="15"/>
      <c r="AN83" s="15"/>
      <c r="AO83" s="15"/>
      <c r="AP83" s="46" t="s">
        <v>45</v>
      </c>
      <c r="AQ83" s="46" t="s">
        <v>45</v>
      </c>
      <c r="AR83" s="47"/>
      <c r="AS83" s="46" t="s">
        <v>45</v>
      </c>
      <c r="AT83" s="46" t="s">
        <v>45</v>
      </c>
      <c r="AU83" s="140"/>
    </row>
    <row r="84" spans="1:47" x14ac:dyDescent="0.3">
      <c r="A84" s="200"/>
      <c r="B84" s="100" t="s">
        <v>20</v>
      </c>
      <c r="C84" s="14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41"/>
      <c r="R84" s="9">
        <v>2</v>
      </c>
      <c r="S84" s="10">
        <v>2</v>
      </c>
      <c r="T84" s="11">
        <v>1</v>
      </c>
      <c r="U84" s="10">
        <v>0</v>
      </c>
      <c r="V84" s="45" t="s">
        <v>51</v>
      </c>
      <c r="W84" s="15"/>
      <c r="X84" s="15"/>
      <c r="Y84" s="15"/>
      <c r="Z84" s="15"/>
      <c r="AA84" s="60" t="s">
        <v>49</v>
      </c>
      <c r="AB84" s="60" t="s">
        <v>49</v>
      </c>
      <c r="AC84" s="15"/>
      <c r="AD84" s="60" t="s">
        <v>49</v>
      </c>
      <c r="AE84" s="60" t="s">
        <v>49</v>
      </c>
      <c r="AF84" s="15"/>
      <c r="AG84" s="9">
        <v>2</v>
      </c>
      <c r="AH84" s="10">
        <v>3</v>
      </c>
      <c r="AI84" s="11">
        <v>1.5</v>
      </c>
      <c r="AJ84" s="10">
        <v>1</v>
      </c>
      <c r="AK84" s="10">
        <v>1</v>
      </c>
      <c r="AL84" s="15"/>
      <c r="AM84" s="15"/>
      <c r="AN84" s="15"/>
      <c r="AO84" s="15"/>
      <c r="AP84" s="11">
        <v>87.114000000000004</v>
      </c>
      <c r="AQ84" s="11">
        <v>0</v>
      </c>
      <c r="AR84" s="15"/>
      <c r="AS84" s="11">
        <v>4.96</v>
      </c>
      <c r="AT84" s="11">
        <v>0</v>
      </c>
      <c r="AU84" s="41"/>
    </row>
    <row r="85" spans="1:47" s="76" customFormat="1" ht="16.5" customHeight="1" x14ac:dyDescent="0.3">
      <c r="A85" s="200"/>
      <c r="B85" s="99" t="s">
        <v>63</v>
      </c>
      <c r="C85" s="78">
        <v>1</v>
      </c>
      <c r="D85" s="79">
        <v>2</v>
      </c>
      <c r="E85" s="80">
        <v>2</v>
      </c>
      <c r="F85" s="79">
        <v>0</v>
      </c>
      <c r="G85" s="90" t="s">
        <v>70</v>
      </c>
      <c r="H85" s="87"/>
      <c r="I85" s="88"/>
      <c r="J85" s="89"/>
      <c r="K85" s="88"/>
      <c r="L85" s="92" t="s">
        <v>74</v>
      </c>
      <c r="M85" s="92" t="s">
        <v>74</v>
      </c>
      <c r="N85" s="84"/>
      <c r="O85" s="92" t="s">
        <v>74</v>
      </c>
      <c r="P85" s="92" t="s">
        <v>74</v>
      </c>
      <c r="Q85" s="85"/>
      <c r="R85" s="9">
        <v>2</v>
      </c>
      <c r="S85" s="10">
        <v>3</v>
      </c>
      <c r="T85" s="11">
        <v>1.5</v>
      </c>
      <c r="U85" s="10">
        <v>1</v>
      </c>
      <c r="V85" s="10">
        <v>1</v>
      </c>
      <c r="W85" s="15"/>
      <c r="X85" s="15"/>
      <c r="Y85" s="15"/>
      <c r="Z85" s="15"/>
      <c r="AA85" s="50">
        <v>36.286999999999999</v>
      </c>
      <c r="AB85" s="50">
        <v>0</v>
      </c>
      <c r="AC85" s="15"/>
      <c r="AD85" s="50">
        <v>7.7</v>
      </c>
      <c r="AE85" s="50">
        <v>0</v>
      </c>
      <c r="AF85" s="15"/>
      <c r="AG85" s="9">
        <v>2</v>
      </c>
      <c r="AH85" s="10">
        <v>2</v>
      </c>
      <c r="AI85" s="11">
        <v>1</v>
      </c>
      <c r="AJ85" s="10">
        <v>2</v>
      </c>
      <c r="AK85" s="10">
        <v>0</v>
      </c>
      <c r="AL85" s="15"/>
      <c r="AM85" s="15"/>
      <c r="AN85" s="15"/>
      <c r="AO85" s="15"/>
      <c r="AP85" s="11">
        <v>75.864000000000004</v>
      </c>
      <c r="AQ85" s="11">
        <v>5.5539999999999559</v>
      </c>
      <c r="AR85" s="15"/>
      <c r="AS85" s="11">
        <v>5.9550000000000001</v>
      </c>
      <c r="AT85" s="11">
        <v>0.35499999999998788</v>
      </c>
      <c r="AU85" s="41"/>
    </row>
    <row r="86" spans="1:47" s="76" customFormat="1" ht="16.5" customHeight="1" x14ac:dyDescent="0.3">
      <c r="A86" s="200"/>
      <c r="B86" s="99" t="s">
        <v>64</v>
      </c>
      <c r="C86" s="78">
        <v>2</v>
      </c>
      <c r="D86" s="79">
        <v>3</v>
      </c>
      <c r="E86" s="80">
        <v>1.5</v>
      </c>
      <c r="F86" s="79">
        <v>1</v>
      </c>
      <c r="G86" s="90" t="s">
        <v>70</v>
      </c>
      <c r="H86" s="87"/>
      <c r="I86" s="88"/>
      <c r="J86" s="89"/>
      <c r="K86" s="88"/>
      <c r="L86" s="80">
        <v>89.781999999999996</v>
      </c>
      <c r="M86" s="81">
        <v>0</v>
      </c>
      <c r="N86" s="84"/>
      <c r="O86" s="80">
        <v>4.74</v>
      </c>
      <c r="P86" s="86">
        <v>0</v>
      </c>
      <c r="Q86" s="85"/>
      <c r="R86" s="9">
        <v>2</v>
      </c>
      <c r="S86" s="10">
        <v>5</v>
      </c>
      <c r="T86" s="11">
        <v>2.5</v>
      </c>
      <c r="U86" s="10">
        <v>2</v>
      </c>
      <c r="V86" s="45" t="s">
        <v>51</v>
      </c>
      <c r="W86" s="15"/>
      <c r="X86" s="15"/>
      <c r="Y86" s="15"/>
      <c r="Z86" s="15"/>
      <c r="AA86" s="58">
        <v>92.176500000000004</v>
      </c>
      <c r="AB86" s="58">
        <v>0.82549999999897417</v>
      </c>
      <c r="AC86" s="47"/>
      <c r="AD86" s="58">
        <v>4.8100000000000005</v>
      </c>
      <c r="AE86" s="58">
        <v>0.30999999999998828</v>
      </c>
      <c r="AF86" s="47"/>
      <c r="AG86" s="9">
        <v>2</v>
      </c>
      <c r="AH86" s="10">
        <v>3</v>
      </c>
      <c r="AI86" s="11">
        <v>1.5</v>
      </c>
      <c r="AJ86" s="10">
        <v>0</v>
      </c>
      <c r="AK86" s="10">
        <v>1</v>
      </c>
      <c r="AL86" s="15"/>
      <c r="AM86" s="15"/>
      <c r="AN86" s="15"/>
      <c r="AO86" s="15"/>
      <c r="AP86" s="46" t="s">
        <v>45</v>
      </c>
      <c r="AQ86" s="46" t="s">
        <v>45</v>
      </c>
      <c r="AR86" s="47"/>
      <c r="AS86" s="46" t="s">
        <v>45</v>
      </c>
      <c r="AT86" s="46" t="s">
        <v>45</v>
      </c>
      <c r="AU86" s="140"/>
    </row>
    <row r="87" spans="1:47" s="76" customFormat="1" ht="16.5" customHeight="1" x14ac:dyDescent="0.3">
      <c r="A87" s="200"/>
      <c r="B87" s="99" t="s">
        <v>65</v>
      </c>
      <c r="C87" s="78">
        <v>1</v>
      </c>
      <c r="D87" s="79">
        <v>5</v>
      </c>
      <c r="E87" s="80">
        <v>5</v>
      </c>
      <c r="F87" s="79">
        <v>1</v>
      </c>
      <c r="G87" s="79">
        <v>0</v>
      </c>
      <c r="H87" s="87"/>
      <c r="I87" s="88"/>
      <c r="J87" s="89"/>
      <c r="K87" s="88"/>
      <c r="L87" s="80">
        <v>92.963999999999999</v>
      </c>
      <c r="M87" s="81">
        <v>0</v>
      </c>
      <c r="N87" s="84"/>
      <c r="O87" s="80">
        <v>4.5199999999999996</v>
      </c>
      <c r="P87" s="86">
        <v>0</v>
      </c>
      <c r="Q87" s="85"/>
      <c r="R87" s="9">
        <v>2</v>
      </c>
      <c r="S87" s="10">
        <v>3</v>
      </c>
      <c r="T87" s="11">
        <v>1.5</v>
      </c>
      <c r="U87" s="10">
        <v>0</v>
      </c>
      <c r="V87" s="10">
        <v>1</v>
      </c>
      <c r="W87" s="15"/>
      <c r="X87" s="15"/>
      <c r="Y87" s="15"/>
      <c r="Z87" s="15"/>
      <c r="AA87" s="60" t="s">
        <v>49</v>
      </c>
      <c r="AB87" s="60" t="s">
        <v>49</v>
      </c>
      <c r="AC87" s="47"/>
      <c r="AD87" s="60" t="s">
        <v>49</v>
      </c>
      <c r="AE87" s="60" t="s">
        <v>49</v>
      </c>
      <c r="AF87" s="47"/>
      <c r="AG87" s="9">
        <v>2</v>
      </c>
      <c r="AH87" s="10">
        <v>6</v>
      </c>
      <c r="AI87" s="11">
        <v>3</v>
      </c>
      <c r="AJ87" s="10">
        <v>0</v>
      </c>
      <c r="AK87" s="10">
        <v>4</v>
      </c>
      <c r="AL87" s="15"/>
      <c r="AM87" s="15"/>
      <c r="AN87" s="15"/>
      <c r="AO87" s="15"/>
      <c r="AP87" s="46" t="s">
        <v>45</v>
      </c>
      <c r="AQ87" s="46" t="s">
        <v>45</v>
      </c>
      <c r="AR87" s="47"/>
      <c r="AS87" s="46" t="s">
        <v>45</v>
      </c>
      <c r="AT87" s="46" t="s">
        <v>45</v>
      </c>
      <c r="AU87" s="140"/>
    </row>
    <row r="88" spans="1:47" s="76" customFormat="1" ht="16.5" customHeight="1" thickBot="1" x14ac:dyDescent="0.35">
      <c r="A88" s="202"/>
      <c r="B88" s="121" t="s">
        <v>67</v>
      </c>
      <c r="C88" s="139">
        <v>40</v>
      </c>
      <c r="D88" s="122">
        <v>117</v>
      </c>
      <c r="E88" s="123">
        <v>2.9249999999999998</v>
      </c>
      <c r="F88" s="122">
        <v>28</v>
      </c>
      <c r="G88" s="122">
        <v>34</v>
      </c>
      <c r="H88" s="124"/>
      <c r="I88" s="125"/>
      <c r="J88" s="126"/>
      <c r="K88" s="125"/>
      <c r="L88" s="123">
        <v>86.626571428571438</v>
      </c>
      <c r="M88" s="127">
        <v>11.060697483265947</v>
      </c>
      <c r="N88" s="128"/>
      <c r="O88" s="123">
        <v>4.9650000000000007</v>
      </c>
      <c r="P88" s="129">
        <v>1.1082402395561253</v>
      </c>
      <c r="Q88" s="130"/>
      <c r="R88" s="18">
        <v>55</v>
      </c>
      <c r="S88" s="19">
        <v>117</v>
      </c>
      <c r="T88" s="20">
        <v>2.1272727272727274</v>
      </c>
      <c r="U88" s="19">
        <v>38</v>
      </c>
      <c r="V88" s="19">
        <v>47</v>
      </c>
      <c r="W88" s="27"/>
      <c r="X88" s="27"/>
      <c r="Y88" s="27"/>
      <c r="Z88" s="27"/>
      <c r="AA88" s="59">
        <v>83.780815789473664</v>
      </c>
      <c r="AB88" s="59">
        <v>13.204790683399207</v>
      </c>
      <c r="AC88" s="27"/>
      <c r="AD88" s="59">
        <v>5.2126315789473692</v>
      </c>
      <c r="AE88" s="59">
        <v>1.1518102096277667</v>
      </c>
      <c r="AF88" s="27"/>
      <c r="AG88" s="18">
        <v>55</v>
      </c>
      <c r="AH88" s="19">
        <v>126</v>
      </c>
      <c r="AI88" s="20">
        <v>2.290909090909091</v>
      </c>
      <c r="AJ88" s="19">
        <v>34</v>
      </c>
      <c r="AK88" s="19">
        <v>45</v>
      </c>
      <c r="AL88" s="27"/>
      <c r="AM88" s="27"/>
      <c r="AN88" s="27"/>
      <c r="AO88" s="27"/>
      <c r="AP88" s="20">
        <v>87.853058823529409</v>
      </c>
      <c r="AQ88" s="20">
        <v>8.0930684282771423</v>
      </c>
      <c r="AR88" s="27"/>
      <c r="AS88" s="20">
        <v>4.6141176470588237</v>
      </c>
      <c r="AT88" s="20">
        <v>1.0355905324330887</v>
      </c>
      <c r="AU88" s="42"/>
    </row>
    <row r="89" spans="1:47" s="76" customFormat="1" ht="16.5" customHeight="1" x14ac:dyDescent="0.3">
      <c r="A89" s="201" t="s">
        <v>72</v>
      </c>
      <c r="B89" s="111" t="s">
        <v>54</v>
      </c>
      <c r="C89" s="138">
        <v>4</v>
      </c>
      <c r="D89" s="112">
        <v>26</v>
      </c>
      <c r="E89" s="113">
        <v>6.5</v>
      </c>
      <c r="F89" s="112">
        <v>4</v>
      </c>
      <c r="G89" s="112">
        <v>5</v>
      </c>
      <c r="H89" s="114"/>
      <c r="I89" s="115"/>
      <c r="J89" s="116"/>
      <c r="K89" s="115"/>
      <c r="L89" s="113">
        <v>92.785499999999999</v>
      </c>
      <c r="M89" s="117">
        <v>1.7766100444387467</v>
      </c>
      <c r="N89" s="118"/>
      <c r="O89" s="113">
        <v>4.4249999999999998</v>
      </c>
      <c r="P89" s="119">
        <v>0.74794719064918014</v>
      </c>
      <c r="Q89" s="120"/>
      <c r="R89" s="93"/>
      <c r="S89" s="94"/>
      <c r="T89" s="95"/>
      <c r="U89" s="94"/>
      <c r="V89" s="94"/>
      <c r="W89" s="94"/>
      <c r="X89" s="94"/>
      <c r="Y89" s="94"/>
      <c r="Z89" s="94"/>
      <c r="AA89" s="95"/>
      <c r="AB89" s="94"/>
      <c r="AC89" s="96"/>
      <c r="AD89" s="95"/>
      <c r="AE89" s="94"/>
      <c r="AF89" s="96"/>
      <c r="AG89" s="93"/>
      <c r="AH89" s="94"/>
      <c r="AI89" s="95"/>
      <c r="AJ89" s="94"/>
      <c r="AK89" s="94"/>
      <c r="AL89" s="94"/>
      <c r="AM89" s="94"/>
      <c r="AN89" s="94"/>
      <c r="AO89" s="94"/>
      <c r="AP89" s="95"/>
      <c r="AQ89" s="94"/>
      <c r="AR89" s="96"/>
      <c r="AS89" s="95"/>
      <c r="AT89" s="94"/>
      <c r="AU89" s="98"/>
    </row>
    <row r="90" spans="1:47" x14ac:dyDescent="0.3">
      <c r="A90" s="200"/>
      <c r="B90" s="100" t="s">
        <v>14</v>
      </c>
      <c r="C90" s="14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41"/>
      <c r="R90" s="9">
        <v>2</v>
      </c>
      <c r="S90" s="10">
        <v>11</v>
      </c>
      <c r="T90" s="11">
        <v>5.5</v>
      </c>
      <c r="U90" s="10">
        <v>2</v>
      </c>
      <c r="V90" s="10">
        <v>1</v>
      </c>
      <c r="W90" s="10">
        <v>5</v>
      </c>
      <c r="X90" s="11">
        <v>2.5</v>
      </c>
      <c r="Y90" s="44">
        <v>33.333333333333329</v>
      </c>
      <c r="Z90" s="11">
        <v>5.008</v>
      </c>
      <c r="AA90" s="50">
        <v>90.913000000000011</v>
      </c>
      <c r="AB90" s="50">
        <v>0.26599999999501034</v>
      </c>
      <c r="AC90" s="15"/>
      <c r="AD90" s="50">
        <v>4.93</v>
      </c>
      <c r="AE90" s="50">
        <v>8.9999999999993807E-2</v>
      </c>
      <c r="AF90" s="15"/>
      <c r="AG90" s="9">
        <v>2</v>
      </c>
      <c r="AH90" s="10">
        <v>8</v>
      </c>
      <c r="AI90" s="11">
        <v>4</v>
      </c>
      <c r="AJ90" s="10">
        <v>1</v>
      </c>
      <c r="AK90" s="10">
        <v>3</v>
      </c>
      <c r="AL90" s="10">
        <v>5</v>
      </c>
      <c r="AM90" s="11">
        <f>AL90/AG90</f>
        <v>2.5</v>
      </c>
      <c r="AN90" s="38">
        <f>AK90/(AL90-AG90)*100</f>
        <v>100</v>
      </c>
      <c r="AO90" s="11">
        <v>4.1219999999999999</v>
      </c>
      <c r="AP90" s="11">
        <v>85.12</v>
      </c>
      <c r="AQ90" s="11">
        <v>0</v>
      </c>
      <c r="AR90" s="15"/>
      <c r="AS90" s="11">
        <v>5.34</v>
      </c>
      <c r="AT90" s="11">
        <v>0</v>
      </c>
      <c r="AU90" s="41"/>
    </row>
    <row r="91" spans="1:47" x14ac:dyDescent="0.3">
      <c r="A91" s="200"/>
      <c r="B91" s="100" t="s">
        <v>16</v>
      </c>
      <c r="C91" s="14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41"/>
      <c r="R91" s="9">
        <v>2</v>
      </c>
      <c r="S91" s="10">
        <v>4</v>
      </c>
      <c r="T91" s="11">
        <v>2</v>
      </c>
      <c r="U91" s="10">
        <v>0</v>
      </c>
      <c r="V91" s="10">
        <v>0</v>
      </c>
      <c r="W91" s="10">
        <v>2</v>
      </c>
      <c r="X91" s="11">
        <v>1</v>
      </c>
      <c r="Y91" s="44">
        <v>0</v>
      </c>
      <c r="Z91" s="50">
        <v>5.3650000000000002</v>
      </c>
      <c r="AA91" s="60" t="s">
        <v>49</v>
      </c>
      <c r="AB91" s="60" t="s">
        <v>49</v>
      </c>
      <c r="AC91" s="15"/>
      <c r="AD91" s="60" t="s">
        <v>49</v>
      </c>
      <c r="AE91" s="60" t="s">
        <v>49</v>
      </c>
      <c r="AF91" s="15"/>
      <c r="AG91" s="9">
        <v>2</v>
      </c>
      <c r="AH91" s="10">
        <v>5</v>
      </c>
      <c r="AI91" s="11">
        <v>2.5</v>
      </c>
      <c r="AJ91" s="10">
        <v>1</v>
      </c>
      <c r="AK91" s="10">
        <v>2</v>
      </c>
      <c r="AL91" s="10">
        <v>4</v>
      </c>
      <c r="AM91" s="11">
        <f>AL91/AG91</f>
        <v>2</v>
      </c>
      <c r="AN91" s="38">
        <f>AK91/(AL91-AG91)*100</f>
        <v>100</v>
      </c>
      <c r="AO91" s="11">
        <v>5.1400000000000006</v>
      </c>
      <c r="AP91" s="11">
        <v>63.026000000000003</v>
      </c>
      <c r="AQ91" s="11">
        <v>0</v>
      </c>
      <c r="AR91" s="15"/>
      <c r="AS91" s="11">
        <v>6.95</v>
      </c>
      <c r="AT91" s="11">
        <v>0</v>
      </c>
      <c r="AU91" s="41"/>
    </row>
    <row r="92" spans="1:47" x14ac:dyDescent="0.3">
      <c r="A92" s="200"/>
      <c r="B92" s="100" t="s">
        <v>19</v>
      </c>
      <c r="C92" s="14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41"/>
      <c r="R92" s="9">
        <v>1</v>
      </c>
      <c r="S92" s="10">
        <v>2</v>
      </c>
      <c r="T92" s="11">
        <v>2</v>
      </c>
      <c r="U92" s="10">
        <v>0</v>
      </c>
      <c r="V92" s="45" t="s">
        <v>51</v>
      </c>
      <c r="W92" s="10">
        <v>1</v>
      </c>
      <c r="X92" s="11">
        <v>1</v>
      </c>
      <c r="Y92" s="45" t="s">
        <v>51</v>
      </c>
      <c r="Z92" s="50">
        <v>5.0999999999999996</v>
      </c>
      <c r="AA92" s="60" t="s">
        <v>49</v>
      </c>
      <c r="AB92" s="60" t="s">
        <v>49</v>
      </c>
      <c r="AC92" s="15"/>
      <c r="AD92" s="60" t="s">
        <v>49</v>
      </c>
      <c r="AE92" s="60" t="s">
        <v>49</v>
      </c>
      <c r="AF92" s="15"/>
      <c r="AG92" s="9">
        <v>1</v>
      </c>
      <c r="AH92" s="10">
        <v>5</v>
      </c>
      <c r="AI92" s="11">
        <v>5</v>
      </c>
      <c r="AJ92" s="10">
        <v>1</v>
      </c>
      <c r="AK92" s="10">
        <v>1</v>
      </c>
      <c r="AL92" s="10">
        <v>3</v>
      </c>
      <c r="AM92" s="11">
        <f>AL92/AG92</f>
        <v>3</v>
      </c>
      <c r="AN92" s="38">
        <f>AK92/(AL92-AG92)*100</f>
        <v>50</v>
      </c>
      <c r="AO92" s="11">
        <v>4.5566666666666658</v>
      </c>
      <c r="AP92" s="11">
        <v>90.766999999999996</v>
      </c>
      <c r="AQ92" s="11">
        <v>0</v>
      </c>
      <c r="AR92" s="15"/>
      <c r="AS92" s="11">
        <v>4.8499999999999996</v>
      </c>
      <c r="AT92" s="11">
        <v>0</v>
      </c>
      <c r="AU92" s="41"/>
    </row>
    <row r="93" spans="1:47" s="76" customFormat="1" ht="16.5" customHeight="1" x14ac:dyDescent="0.3">
      <c r="A93" s="200"/>
      <c r="B93" s="99" t="s">
        <v>55</v>
      </c>
      <c r="C93" s="78">
        <v>6</v>
      </c>
      <c r="D93" s="79">
        <v>34</v>
      </c>
      <c r="E93" s="80">
        <v>5.666666666666667</v>
      </c>
      <c r="F93" s="79">
        <v>6</v>
      </c>
      <c r="G93" s="79">
        <v>12</v>
      </c>
      <c r="H93" s="87"/>
      <c r="I93" s="88"/>
      <c r="J93" s="89"/>
      <c r="K93" s="88"/>
      <c r="L93" s="80">
        <v>93.096166666666662</v>
      </c>
      <c r="M93" s="81">
        <v>1.9106783626654107</v>
      </c>
      <c r="N93" s="84"/>
      <c r="O93" s="80">
        <v>4.291666666666667</v>
      </c>
      <c r="P93" s="86">
        <v>0.84992973565793073</v>
      </c>
      <c r="Q93" s="85"/>
      <c r="R93" s="93"/>
      <c r="S93" s="94"/>
      <c r="T93" s="95"/>
      <c r="U93" s="94"/>
      <c r="V93" s="94"/>
      <c r="W93" s="94"/>
      <c r="X93" s="94"/>
      <c r="Y93" s="94"/>
      <c r="Z93" s="94"/>
      <c r="AA93" s="95"/>
      <c r="AB93" s="94"/>
      <c r="AC93" s="96"/>
      <c r="AD93" s="95"/>
      <c r="AE93" s="94"/>
      <c r="AF93" s="96"/>
      <c r="AG93" s="93"/>
      <c r="AH93" s="94"/>
      <c r="AI93" s="95"/>
      <c r="AJ93" s="94"/>
      <c r="AK93" s="94"/>
      <c r="AL93" s="94"/>
      <c r="AM93" s="94"/>
      <c r="AN93" s="94"/>
      <c r="AO93" s="94"/>
      <c r="AP93" s="95"/>
      <c r="AQ93" s="94"/>
      <c r="AR93" s="96"/>
      <c r="AS93" s="95"/>
      <c r="AT93" s="94"/>
      <c r="AU93" s="98"/>
    </row>
    <row r="94" spans="1:47" x14ac:dyDescent="0.3">
      <c r="A94" s="200"/>
      <c r="B94" s="104" t="s">
        <v>12</v>
      </c>
      <c r="C94" s="14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41"/>
      <c r="R94" s="21">
        <v>3</v>
      </c>
      <c r="S94" s="22">
        <v>10</v>
      </c>
      <c r="T94" s="23">
        <v>3.3333333333333335</v>
      </c>
      <c r="U94" s="22">
        <v>3</v>
      </c>
      <c r="V94" s="10">
        <v>1</v>
      </c>
      <c r="W94" s="22">
        <v>5</v>
      </c>
      <c r="X94" s="23">
        <v>1.6666666666666667</v>
      </c>
      <c r="Y94" s="44">
        <v>50</v>
      </c>
      <c r="Z94" s="23">
        <v>5.03</v>
      </c>
      <c r="AA94" s="61">
        <v>89.265666666666675</v>
      </c>
      <c r="AB94" s="61">
        <v>4.8051704328657987</v>
      </c>
      <c r="AC94" s="24"/>
      <c r="AD94" s="61">
        <v>4.8466666666666667</v>
      </c>
      <c r="AE94" s="61">
        <v>0.55198631222965555</v>
      </c>
      <c r="AF94" s="24"/>
      <c r="AG94" s="21">
        <v>3</v>
      </c>
      <c r="AH94" s="22">
        <v>9</v>
      </c>
      <c r="AI94" s="23">
        <v>3</v>
      </c>
      <c r="AJ94" s="22">
        <v>1</v>
      </c>
      <c r="AK94" s="22">
        <v>2</v>
      </c>
      <c r="AL94" s="22">
        <v>5</v>
      </c>
      <c r="AM94" s="23">
        <f>AL94/AG94</f>
        <v>1.6666666666666667</v>
      </c>
      <c r="AN94" s="44">
        <f>AK94/(AL94-AG94)*100</f>
        <v>100</v>
      </c>
      <c r="AO94" s="23">
        <v>4.1740000000000004</v>
      </c>
      <c r="AP94" s="23">
        <v>94.003</v>
      </c>
      <c r="AQ94" s="23">
        <v>0</v>
      </c>
      <c r="AR94" s="24"/>
      <c r="AS94" s="23">
        <v>4</v>
      </c>
      <c r="AT94" s="23">
        <v>0</v>
      </c>
      <c r="AU94" s="141"/>
    </row>
    <row r="95" spans="1:47" x14ac:dyDescent="0.3">
      <c r="A95" s="200"/>
      <c r="B95" s="100" t="s">
        <v>13</v>
      </c>
      <c r="C95" s="14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41"/>
      <c r="R95" s="14"/>
      <c r="S95" s="15"/>
      <c r="T95" s="16"/>
      <c r="U95" s="15"/>
      <c r="V95" s="15"/>
      <c r="W95" s="15"/>
      <c r="X95" s="16"/>
      <c r="Y95" s="39"/>
      <c r="Z95" s="16"/>
      <c r="AA95" s="53"/>
      <c r="AB95" s="53"/>
      <c r="AC95" s="15"/>
      <c r="AD95" s="53"/>
      <c r="AE95" s="53"/>
      <c r="AF95" s="15"/>
      <c r="AG95" s="9">
        <v>2</v>
      </c>
      <c r="AH95" s="10">
        <v>4</v>
      </c>
      <c r="AI95" s="11">
        <v>2</v>
      </c>
      <c r="AJ95" s="10">
        <v>2</v>
      </c>
      <c r="AK95" s="10">
        <v>2</v>
      </c>
      <c r="AL95" s="10">
        <v>4</v>
      </c>
      <c r="AM95" s="11">
        <f>AL95/AG95</f>
        <v>2</v>
      </c>
      <c r="AN95" s="38">
        <f>AK95/(AL95-AG95)*100</f>
        <v>100</v>
      </c>
      <c r="AO95" s="11">
        <v>4.9000000000000004</v>
      </c>
      <c r="AP95" s="11">
        <v>86.1905</v>
      </c>
      <c r="AQ95" s="11">
        <v>4.2385000000000357</v>
      </c>
      <c r="AR95" s="15"/>
      <c r="AS95" s="11">
        <v>5.1750000000000007</v>
      </c>
      <c r="AT95" s="11">
        <v>0.48499999999999244</v>
      </c>
      <c r="AU95" s="41"/>
    </row>
    <row r="96" spans="1:47" x14ac:dyDescent="0.3">
      <c r="A96" s="200"/>
      <c r="B96" s="100" t="s">
        <v>48</v>
      </c>
      <c r="C96" s="14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41"/>
      <c r="R96" s="9">
        <v>5</v>
      </c>
      <c r="S96" s="10">
        <v>14</v>
      </c>
      <c r="T96" s="11">
        <v>2.8</v>
      </c>
      <c r="U96" s="10">
        <v>4</v>
      </c>
      <c r="V96" s="10">
        <v>4</v>
      </c>
      <c r="W96" s="10">
        <v>9</v>
      </c>
      <c r="X96" s="11">
        <v>1.8</v>
      </c>
      <c r="Y96" s="44">
        <v>100</v>
      </c>
      <c r="Z96" s="11">
        <v>4.7922222222222226</v>
      </c>
      <c r="AA96" s="50">
        <v>89.245500000000007</v>
      </c>
      <c r="AB96" s="50">
        <v>5.9153945134706936</v>
      </c>
      <c r="AC96" s="15"/>
      <c r="AD96" s="50">
        <v>4.8774999999999995</v>
      </c>
      <c r="AE96" s="50">
        <v>0.65296917997713244</v>
      </c>
      <c r="AF96" s="15"/>
      <c r="AG96" s="9">
        <v>5</v>
      </c>
      <c r="AH96" s="10">
        <v>13</v>
      </c>
      <c r="AI96" s="11">
        <v>2.6</v>
      </c>
      <c r="AJ96" s="10">
        <v>5</v>
      </c>
      <c r="AK96" s="10">
        <v>3</v>
      </c>
      <c r="AL96" s="10">
        <v>9</v>
      </c>
      <c r="AM96" s="11">
        <f>AL96/AG96</f>
        <v>1.8</v>
      </c>
      <c r="AN96" s="38">
        <f>AK96/(AL96-AG96)*100</f>
        <v>75</v>
      </c>
      <c r="AO96" s="11">
        <v>4.6211111111111105</v>
      </c>
      <c r="AP96" s="11">
        <v>89.083999999999989</v>
      </c>
      <c r="AQ96" s="11">
        <v>3.2373582440010833</v>
      </c>
      <c r="AR96" s="15"/>
      <c r="AS96" s="11">
        <v>4.7039999999999997</v>
      </c>
      <c r="AT96" s="11">
        <v>0.46598712428563777</v>
      </c>
      <c r="AU96" s="41"/>
    </row>
    <row r="97" spans="1:47" s="76" customFormat="1" ht="16.5" customHeight="1" x14ac:dyDescent="0.3">
      <c r="A97" s="200"/>
      <c r="B97" s="99" t="s">
        <v>56</v>
      </c>
      <c r="C97" s="78">
        <v>2</v>
      </c>
      <c r="D97" s="79">
        <v>10</v>
      </c>
      <c r="E97" s="80">
        <v>5</v>
      </c>
      <c r="F97" s="79">
        <v>2</v>
      </c>
      <c r="G97" s="79">
        <v>4</v>
      </c>
      <c r="H97" s="87"/>
      <c r="I97" s="88"/>
      <c r="J97" s="89"/>
      <c r="K97" s="88"/>
      <c r="L97" s="80">
        <v>90.674000000000007</v>
      </c>
      <c r="M97" s="81">
        <v>0.70199999999836504</v>
      </c>
      <c r="N97" s="84"/>
      <c r="O97" s="80">
        <v>5.0549999999999997</v>
      </c>
      <c r="P97" s="86">
        <v>7.5000000000013264E-2</v>
      </c>
      <c r="Q97" s="85"/>
      <c r="R97" s="9">
        <v>2</v>
      </c>
      <c r="S97" s="10">
        <v>5</v>
      </c>
      <c r="T97" s="11">
        <v>2.5</v>
      </c>
      <c r="U97" s="10">
        <v>1</v>
      </c>
      <c r="V97" s="45" t="s">
        <v>51</v>
      </c>
      <c r="W97" s="10">
        <v>2</v>
      </c>
      <c r="X97" s="11">
        <v>1</v>
      </c>
      <c r="Y97" s="45" t="s">
        <v>51</v>
      </c>
      <c r="Z97" s="11">
        <v>5.1050000000000004</v>
      </c>
      <c r="AA97" s="50">
        <v>77.114000000000004</v>
      </c>
      <c r="AB97" s="50">
        <v>0</v>
      </c>
      <c r="AC97" s="15"/>
      <c r="AD97" s="50">
        <v>5.68</v>
      </c>
      <c r="AE97" s="50">
        <v>0</v>
      </c>
      <c r="AF97" s="15"/>
      <c r="AG97" s="14"/>
      <c r="AH97" s="15"/>
      <c r="AI97" s="16"/>
      <c r="AJ97" s="15"/>
      <c r="AK97" s="15"/>
      <c r="AL97" s="15"/>
      <c r="AM97" s="16"/>
      <c r="AN97" s="39"/>
      <c r="AO97" s="16"/>
      <c r="AP97" s="16"/>
      <c r="AQ97" s="16"/>
      <c r="AR97" s="15"/>
      <c r="AS97" s="16"/>
      <c r="AT97" s="16"/>
      <c r="AU97" s="41"/>
    </row>
    <row r="98" spans="1:47" s="76" customFormat="1" ht="16.5" customHeight="1" x14ac:dyDescent="0.3">
      <c r="A98" s="200"/>
      <c r="B98" s="99" t="s">
        <v>57</v>
      </c>
      <c r="C98" s="78">
        <v>3</v>
      </c>
      <c r="D98" s="79">
        <v>9</v>
      </c>
      <c r="E98" s="80">
        <v>3</v>
      </c>
      <c r="F98" s="79">
        <v>3</v>
      </c>
      <c r="G98" s="79">
        <v>3</v>
      </c>
      <c r="H98" s="87"/>
      <c r="I98" s="88"/>
      <c r="J98" s="89"/>
      <c r="K98" s="88"/>
      <c r="L98" s="80">
        <v>87.62466666666667</v>
      </c>
      <c r="M98" s="81">
        <v>2.9382862730205352</v>
      </c>
      <c r="N98" s="84"/>
      <c r="O98" s="80">
        <v>5.4533333333333331</v>
      </c>
      <c r="P98" s="86">
        <v>0.16819301082058441</v>
      </c>
      <c r="Q98" s="85"/>
      <c r="R98" s="93"/>
      <c r="S98" s="94"/>
      <c r="T98" s="95"/>
      <c r="U98" s="94"/>
      <c r="V98" s="94"/>
      <c r="W98" s="94"/>
      <c r="X98" s="94"/>
      <c r="Y98" s="94"/>
      <c r="Z98" s="94"/>
      <c r="AA98" s="95"/>
      <c r="AB98" s="94"/>
      <c r="AC98" s="96"/>
      <c r="AD98" s="95"/>
      <c r="AE98" s="94"/>
      <c r="AF98" s="96"/>
      <c r="AG98" s="93"/>
      <c r="AH98" s="94"/>
      <c r="AI98" s="95"/>
      <c r="AJ98" s="94"/>
      <c r="AK98" s="94"/>
      <c r="AL98" s="94"/>
      <c r="AM98" s="94"/>
      <c r="AN98" s="94"/>
      <c r="AO98" s="94"/>
      <c r="AP98" s="95"/>
      <c r="AQ98" s="94"/>
      <c r="AR98" s="96"/>
      <c r="AS98" s="95"/>
      <c r="AT98" s="94"/>
      <c r="AU98" s="98"/>
    </row>
    <row r="99" spans="1:47" x14ac:dyDescent="0.3">
      <c r="A99" s="200"/>
      <c r="B99" s="100" t="s">
        <v>50</v>
      </c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41"/>
      <c r="R99" s="9">
        <v>3</v>
      </c>
      <c r="S99" s="10">
        <v>6</v>
      </c>
      <c r="T99" s="11">
        <v>2</v>
      </c>
      <c r="U99" s="10">
        <v>2</v>
      </c>
      <c r="V99" s="45" t="s">
        <v>51</v>
      </c>
      <c r="W99" s="10">
        <v>2</v>
      </c>
      <c r="X99" s="11">
        <v>0.66666666666666663</v>
      </c>
      <c r="Y99" s="45" t="s">
        <v>51</v>
      </c>
      <c r="Z99" s="11">
        <v>5.6449999999999996</v>
      </c>
      <c r="AA99" s="50">
        <v>78.617500000000007</v>
      </c>
      <c r="AB99" s="50">
        <v>2.7094999999997724</v>
      </c>
      <c r="AC99" s="15"/>
      <c r="AD99" s="50">
        <v>5.6449999999999996</v>
      </c>
      <c r="AE99" s="50">
        <v>0.20500000000001456</v>
      </c>
      <c r="AF99" s="15"/>
      <c r="AG99" s="9">
        <v>3</v>
      </c>
      <c r="AH99" s="10">
        <v>4</v>
      </c>
      <c r="AI99" s="11">
        <v>1.3333333333333333</v>
      </c>
      <c r="AJ99" s="10">
        <v>1</v>
      </c>
      <c r="AK99" s="10">
        <v>0</v>
      </c>
      <c r="AL99" s="10">
        <v>1</v>
      </c>
      <c r="AM99" s="11">
        <f>AL99/AG99</f>
        <v>0.33333333333333331</v>
      </c>
      <c r="AN99" s="38">
        <f>AK99/(AL99-AG99)*100</f>
        <v>0</v>
      </c>
      <c r="AO99" s="11">
        <v>5.14</v>
      </c>
      <c r="AP99" s="11">
        <v>84.191000000000003</v>
      </c>
      <c r="AQ99" s="11">
        <v>0</v>
      </c>
      <c r="AR99" s="15"/>
      <c r="AS99" s="11">
        <v>5.14</v>
      </c>
      <c r="AT99" s="11">
        <v>0</v>
      </c>
      <c r="AU99" s="41"/>
    </row>
    <row r="100" spans="1:47" x14ac:dyDescent="0.3">
      <c r="A100" s="200"/>
      <c r="B100" s="100" t="s">
        <v>21</v>
      </c>
      <c r="C100" s="14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41"/>
      <c r="R100" s="9">
        <v>1</v>
      </c>
      <c r="S100" s="10">
        <v>2</v>
      </c>
      <c r="T100" s="11">
        <v>2</v>
      </c>
      <c r="U100" s="10">
        <v>1</v>
      </c>
      <c r="V100" s="10">
        <v>1</v>
      </c>
      <c r="W100" s="10">
        <v>2</v>
      </c>
      <c r="X100" s="11">
        <v>2</v>
      </c>
      <c r="Y100" s="38">
        <v>100</v>
      </c>
      <c r="Z100" s="50">
        <v>4.5299999999999994</v>
      </c>
      <c r="AA100" s="58">
        <v>92.177000000000007</v>
      </c>
      <c r="AB100" s="58">
        <v>0</v>
      </c>
      <c r="AC100" s="47"/>
      <c r="AD100" s="58">
        <v>4.5999999999999996</v>
      </c>
      <c r="AE100" s="58">
        <v>0</v>
      </c>
      <c r="AF100" s="47"/>
      <c r="AG100" s="9">
        <v>1</v>
      </c>
      <c r="AH100" s="10">
        <v>2</v>
      </c>
      <c r="AI100" s="11">
        <v>2</v>
      </c>
      <c r="AJ100" s="10">
        <v>0</v>
      </c>
      <c r="AK100" s="10">
        <v>1</v>
      </c>
      <c r="AL100" s="10">
        <v>2</v>
      </c>
      <c r="AM100" s="11">
        <f>AL100/AG100</f>
        <v>2</v>
      </c>
      <c r="AN100" s="38">
        <f>AK100/(AL100-AG100)*100</f>
        <v>100</v>
      </c>
      <c r="AO100" s="11">
        <v>5.47</v>
      </c>
      <c r="AP100" s="46" t="s">
        <v>45</v>
      </c>
      <c r="AQ100" s="46" t="s">
        <v>45</v>
      </c>
      <c r="AR100" s="47"/>
      <c r="AS100" s="46" t="s">
        <v>45</v>
      </c>
      <c r="AT100" s="46" t="s">
        <v>45</v>
      </c>
      <c r="AU100" s="140"/>
    </row>
    <row r="101" spans="1:47" s="76" customFormat="1" ht="16.5" customHeight="1" x14ac:dyDescent="0.3">
      <c r="A101" s="200"/>
      <c r="B101" s="99" t="s">
        <v>58</v>
      </c>
      <c r="C101" s="78">
        <v>4</v>
      </c>
      <c r="D101" s="79">
        <v>14</v>
      </c>
      <c r="E101" s="80">
        <v>3.5</v>
      </c>
      <c r="F101" s="79">
        <v>4</v>
      </c>
      <c r="G101" s="79">
        <v>5</v>
      </c>
      <c r="H101" s="87"/>
      <c r="I101" s="88"/>
      <c r="J101" s="89"/>
      <c r="K101" s="88"/>
      <c r="L101" s="80">
        <v>85.737750000000005</v>
      </c>
      <c r="M101" s="81">
        <v>3.3164341825971753</v>
      </c>
      <c r="N101" s="84"/>
      <c r="O101" s="80">
        <v>5.5024999999999995</v>
      </c>
      <c r="P101" s="86">
        <v>0.3829082788345034</v>
      </c>
      <c r="Q101" s="85"/>
      <c r="R101" s="93"/>
      <c r="S101" s="94"/>
      <c r="T101" s="95"/>
      <c r="U101" s="94"/>
      <c r="V101" s="94"/>
      <c r="W101" s="94"/>
      <c r="X101" s="94"/>
      <c r="Y101" s="94"/>
      <c r="Z101" s="94"/>
      <c r="AA101" s="95"/>
      <c r="AB101" s="94"/>
      <c r="AC101" s="96"/>
      <c r="AD101" s="95"/>
      <c r="AE101" s="94"/>
      <c r="AF101" s="96"/>
      <c r="AG101" s="93"/>
      <c r="AH101" s="94"/>
      <c r="AI101" s="95"/>
      <c r="AJ101" s="94"/>
      <c r="AK101" s="94"/>
      <c r="AL101" s="94"/>
      <c r="AM101" s="94"/>
      <c r="AN101" s="94"/>
      <c r="AO101" s="94"/>
      <c r="AP101" s="95"/>
      <c r="AQ101" s="94"/>
      <c r="AR101" s="96"/>
      <c r="AS101" s="95"/>
      <c r="AT101" s="94"/>
      <c r="AU101" s="98"/>
    </row>
    <row r="102" spans="1:47" x14ac:dyDescent="0.3">
      <c r="A102" s="200"/>
      <c r="B102" s="100" t="s">
        <v>36</v>
      </c>
      <c r="C102" s="14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41"/>
      <c r="R102" s="9">
        <v>1</v>
      </c>
      <c r="S102" s="10">
        <v>2</v>
      </c>
      <c r="T102" s="11">
        <v>2</v>
      </c>
      <c r="U102" s="10">
        <v>1</v>
      </c>
      <c r="V102" s="10">
        <v>0</v>
      </c>
      <c r="W102" s="10">
        <v>2</v>
      </c>
      <c r="X102" s="11">
        <v>2</v>
      </c>
      <c r="Y102" s="64">
        <v>0</v>
      </c>
      <c r="Z102" s="58">
        <v>5.6050000000000004</v>
      </c>
      <c r="AA102" s="58">
        <v>84.872</v>
      </c>
      <c r="AB102" s="58">
        <v>0</v>
      </c>
      <c r="AC102" s="47"/>
      <c r="AD102" s="58">
        <v>5.83</v>
      </c>
      <c r="AE102" s="58">
        <v>0</v>
      </c>
      <c r="AF102" s="47"/>
      <c r="AG102" s="9">
        <v>1</v>
      </c>
      <c r="AH102" s="10">
        <v>1</v>
      </c>
      <c r="AI102" s="11">
        <v>1</v>
      </c>
      <c r="AJ102" s="10">
        <v>0</v>
      </c>
      <c r="AK102" s="10">
        <v>0</v>
      </c>
      <c r="AL102" s="10">
        <v>0</v>
      </c>
      <c r="AM102" s="11">
        <f>AL102/AG102</f>
        <v>0</v>
      </c>
      <c r="AN102" s="45" t="s">
        <v>43</v>
      </c>
      <c r="AO102" s="46" t="s">
        <v>43</v>
      </c>
      <c r="AP102" s="46" t="s">
        <v>45</v>
      </c>
      <c r="AQ102" s="46" t="s">
        <v>45</v>
      </c>
      <c r="AR102" s="47"/>
      <c r="AS102" s="46" t="s">
        <v>45</v>
      </c>
      <c r="AT102" s="46" t="s">
        <v>45</v>
      </c>
      <c r="AU102" s="140"/>
    </row>
    <row r="103" spans="1:47" x14ac:dyDescent="0.3">
      <c r="A103" s="200"/>
      <c r="B103" s="100" t="s">
        <v>15</v>
      </c>
      <c r="C103" s="14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41"/>
      <c r="R103" s="9">
        <v>5</v>
      </c>
      <c r="S103" s="10">
        <v>10</v>
      </c>
      <c r="T103" s="11">
        <v>2</v>
      </c>
      <c r="U103" s="10">
        <v>5</v>
      </c>
      <c r="V103" s="10">
        <v>1</v>
      </c>
      <c r="W103" s="10">
        <v>6</v>
      </c>
      <c r="X103" s="11">
        <v>1.2</v>
      </c>
      <c r="Y103" s="44">
        <v>100</v>
      </c>
      <c r="Z103" s="11">
        <v>5.2883333333333331</v>
      </c>
      <c r="AA103" s="50">
        <v>84.384800000000013</v>
      </c>
      <c r="AB103" s="50">
        <v>9.1745735900911889</v>
      </c>
      <c r="AC103" s="15"/>
      <c r="AD103" s="50">
        <v>5.3699999999999992</v>
      </c>
      <c r="AE103" s="50">
        <v>0.86195127472497379</v>
      </c>
      <c r="AF103" s="15"/>
      <c r="AG103" s="9">
        <v>5</v>
      </c>
      <c r="AH103" s="10">
        <v>10</v>
      </c>
      <c r="AI103" s="11">
        <v>2</v>
      </c>
      <c r="AJ103" s="10">
        <v>3</v>
      </c>
      <c r="AK103" s="10">
        <v>2</v>
      </c>
      <c r="AL103" s="10">
        <v>7</v>
      </c>
      <c r="AM103" s="11">
        <f>AL103/AG103</f>
        <v>1.4</v>
      </c>
      <c r="AN103" s="38">
        <f>AK103/(AL103-AG103)*100</f>
        <v>100</v>
      </c>
      <c r="AO103" s="11">
        <v>4.2914285714285709</v>
      </c>
      <c r="AP103" s="11">
        <v>92.500666666666646</v>
      </c>
      <c r="AQ103" s="11">
        <v>1.2443762382121186</v>
      </c>
      <c r="AR103" s="15"/>
      <c r="AS103" s="11">
        <v>4.4899999999999993</v>
      </c>
      <c r="AT103" s="11">
        <v>0.43848223073080966</v>
      </c>
      <c r="AU103" s="41"/>
    </row>
    <row r="104" spans="1:47" s="76" customFormat="1" ht="16.5" customHeight="1" x14ac:dyDescent="0.3">
      <c r="A104" s="200"/>
      <c r="B104" s="99" t="s">
        <v>59</v>
      </c>
      <c r="C104" s="78">
        <v>6</v>
      </c>
      <c r="D104" s="79">
        <v>36</v>
      </c>
      <c r="E104" s="80">
        <v>6</v>
      </c>
      <c r="F104" s="79">
        <v>6</v>
      </c>
      <c r="G104" s="79">
        <v>19</v>
      </c>
      <c r="H104" s="87"/>
      <c r="I104" s="88"/>
      <c r="J104" s="89"/>
      <c r="K104" s="88"/>
      <c r="L104" s="80">
        <v>92.704833333333326</v>
      </c>
      <c r="M104" s="81">
        <v>1.7602849595707279</v>
      </c>
      <c r="N104" s="84"/>
      <c r="O104" s="80">
        <v>4.4083333333333332</v>
      </c>
      <c r="P104" s="86">
        <v>0.65218649343743862</v>
      </c>
      <c r="Q104" s="85"/>
      <c r="R104" s="9">
        <v>8</v>
      </c>
      <c r="S104" s="10">
        <v>27</v>
      </c>
      <c r="T104" s="11">
        <v>3.375</v>
      </c>
      <c r="U104" s="10">
        <v>8</v>
      </c>
      <c r="V104" s="10">
        <v>9</v>
      </c>
      <c r="W104" s="10">
        <v>21</v>
      </c>
      <c r="X104" s="11">
        <v>2.625</v>
      </c>
      <c r="Y104" s="44">
        <v>69.230769230769226</v>
      </c>
      <c r="Z104" s="11">
        <v>4.6352380952380958</v>
      </c>
      <c r="AA104" s="50">
        <v>91.731250000000003</v>
      </c>
      <c r="AB104" s="50">
        <v>2.125340546242001</v>
      </c>
      <c r="AC104" s="15"/>
      <c r="AD104" s="50">
        <v>4.5812499999999998</v>
      </c>
      <c r="AE104" s="50">
        <v>0.45514935735426781</v>
      </c>
      <c r="AF104" s="15"/>
      <c r="AG104" s="9">
        <v>8</v>
      </c>
      <c r="AH104" s="10">
        <v>15</v>
      </c>
      <c r="AI104" s="11">
        <v>1.875</v>
      </c>
      <c r="AJ104" s="10">
        <v>5</v>
      </c>
      <c r="AK104" s="10">
        <v>1</v>
      </c>
      <c r="AL104" s="10">
        <v>9</v>
      </c>
      <c r="AM104" s="11">
        <f>AL104/AG104</f>
        <v>1.125</v>
      </c>
      <c r="AN104" s="38">
        <f>AK104/(AL104-AG104)*100</f>
        <v>100</v>
      </c>
      <c r="AO104" s="11">
        <v>4.2288888888888891</v>
      </c>
      <c r="AP104" s="11">
        <v>89.656599999999997</v>
      </c>
      <c r="AQ104" s="11">
        <v>8.0886471205016015</v>
      </c>
      <c r="AR104" s="15"/>
      <c r="AS104" s="11">
        <v>4.4260000000000002</v>
      </c>
      <c r="AT104" s="11">
        <v>0.90276464263948752</v>
      </c>
      <c r="AU104" s="41"/>
    </row>
    <row r="105" spans="1:47" s="76" customFormat="1" ht="16.5" customHeight="1" x14ac:dyDescent="0.3">
      <c r="A105" s="200"/>
      <c r="B105" s="99" t="s">
        <v>60</v>
      </c>
      <c r="C105" s="78">
        <v>4</v>
      </c>
      <c r="D105" s="79">
        <v>30</v>
      </c>
      <c r="E105" s="80">
        <v>7.5</v>
      </c>
      <c r="F105" s="79">
        <v>4</v>
      </c>
      <c r="G105" s="79">
        <v>18</v>
      </c>
      <c r="H105" s="87"/>
      <c r="I105" s="88"/>
      <c r="J105" s="89"/>
      <c r="K105" s="88"/>
      <c r="L105" s="80">
        <v>91.893749999999997</v>
      </c>
      <c r="M105" s="81">
        <v>0.19085383805374329</v>
      </c>
      <c r="N105" s="84"/>
      <c r="O105" s="80">
        <v>4.6475</v>
      </c>
      <c r="P105" s="86">
        <v>8.8705974996031348E-2</v>
      </c>
      <c r="Q105" s="85"/>
      <c r="R105" s="93"/>
      <c r="S105" s="94"/>
      <c r="T105" s="95"/>
      <c r="U105" s="94"/>
      <c r="V105" s="94"/>
      <c r="W105" s="94"/>
      <c r="X105" s="94"/>
      <c r="Y105" s="94"/>
      <c r="Z105" s="94"/>
      <c r="AA105" s="95"/>
      <c r="AB105" s="94"/>
      <c r="AC105" s="96"/>
      <c r="AD105" s="95"/>
      <c r="AE105" s="94"/>
      <c r="AF105" s="96"/>
      <c r="AG105" s="93"/>
      <c r="AH105" s="94"/>
      <c r="AI105" s="95"/>
      <c r="AJ105" s="94"/>
      <c r="AK105" s="94"/>
      <c r="AL105" s="94"/>
      <c r="AM105" s="94"/>
      <c r="AN105" s="94"/>
      <c r="AO105" s="94"/>
      <c r="AP105" s="95"/>
      <c r="AQ105" s="94"/>
      <c r="AR105" s="96"/>
      <c r="AS105" s="95"/>
      <c r="AT105" s="94"/>
      <c r="AU105" s="98"/>
    </row>
    <row r="106" spans="1:47" x14ac:dyDescent="0.3">
      <c r="A106" s="200"/>
      <c r="B106" s="100" t="s">
        <v>17</v>
      </c>
      <c r="C106" s="14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41"/>
      <c r="R106" s="9">
        <v>3</v>
      </c>
      <c r="S106" s="10">
        <v>7</v>
      </c>
      <c r="T106" s="11">
        <v>2.3333333333333335</v>
      </c>
      <c r="U106" s="10">
        <v>3</v>
      </c>
      <c r="V106" s="10">
        <v>3</v>
      </c>
      <c r="W106" s="10">
        <v>7</v>
      </c>
      <c r="X106" s="11">
        <v>2.3333333333333335</v>
      </c>
      <c r="Y106" s="44">
        <v>75</v>
      </c>
      <c r="Z106" s="50">
        <v>4.6828571428571433</v>
      </c>
      <c r="AA106" s="50">
        <v>90.675666666666658</v>
      </c>
      <c r="AB106" s="50">
        <v>4.6792951273551768</v>
      </c>
      <c r="AC106" s="15"/>
      <c r="AD106" s="50">
        <v>4.3900000000000006</v>
      </c>
      <c r="AE106" s="50">
        <v>0.59233999245928659</v>
      </c>
      <c r="AF106" s="15"/>
      <c r="AG106" s="9">
        <v>3</v>
      </c>
      <c r="AH106" s="10">
        <v>17</v>
      </c>
      <c r="AI106" s="11">
        <v>5.666666666666667</v>
      </c>
      <c r="AJ106" s="10">
        <v>2</v>
      </c>
      <c r="AK106" s="10">
        <v>0</v>
      </c>
      <c r="AL106" s="10">
        <v>15</v>
      </c>
      <c r="AM106" s="11">
        <f>AL106/AG106</f>
        <v>5</v>
      </c>
      <c r="AN106" s="38">
        <f>AK106/(AL106-AG106)*100</f>
        <v>0</v>
      </c>
      <c r="AO106" s="11">
        <v>3.8760000000000003</v>
      </c>
      <c r="AP106" s="11">
        <v>95.214499999999987</v>
      </c>
      <c r="AQ106" s="11">
        <v>0.11450000000774339</v>
      </c>
      <c r="AR106" s="15"/>
      <c r="AS106" s="11">
        <v>3.395</v>
      </c>
      <c r="AT106" s="11">
        <v>5.5000000000008577E-2</v>
      </c>
      <c r="AU106" s="41"/>
    </row>
    <row r="107" spans="1:47" x14ac:dyDescent="0.3">
      <c r="A107" s="200"/>
      <c r="B107" s="100" t="s">
        <v>18</v>
      </c>
      <c r="C107" s="14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41"/>
      <c r="R107" s="9">
        <v>2</v>
      </c>
      <c r="S107" s="10">
        <v>7</v>
      </c>
      <c r="T107" s="11">
        <v>3.5</v>
      </c>
      <c r="U107" s="10">
        <v>2</v>
      </c>
      <c r="V107" s="10">
        <v>2</v>
      </c>
      <c r="W107" s="10">
        <v>7</v>
      </c>
      <c r="X107" s="11">
        <v>3.5</v>
      </c>
      <c r="Y107" s="44">
        <v>40</v>
      </c>
      <c r="Z107" s="50">
        <v>4.8657142857142857</v>
      </c>
      <c r="AA107" s="50">
        <v>91.174999999999997</v>
      </c>
      <c r="AB107" s="50">
        <v>0.30599999999935573</v>
      </c>
      <c r="AC107" s="15"/>
      <c r="AD107" s="50">
        <v>5.0299999999999994</v>
      </c>
      <c r="AE107" s="50">
        <v>6.0000000000018899E-2</v>
      </c>
      <c r="AF107" s="15"/>
      <c r="AG107" s="9">
        <v>2</v>
      </c>
      <c r="AH107" s="10">
        <v>9</v>
      </c>
      <c r="AI107" s="11">
        <v>4.5</v>
      </c>
      <c r="AJ107" s="10">
        <v>2</v>
      </c>
      <c r="AK107" s="10">
        <v>4</v>
      </c>
      <c r="AL107" s="10">
        <v>8</v>
      </c>
      <c r="AM107" s="11">
        <f>AL107/AG107</f>
        <v>4</v>
      </c>
      <c r="AN107" s="38">
        <f>AK107/(AL107-AG107)*100</f>
        <v>66.666666666666657</v>
      </c>
      <c r="AO107" s="11">
        <v>4.1625000000000005</v>
      </c>
      <c r="AP107" s="11">
        <v>92.899500000000003</v>
      </c>
      <c r="AQ107" s="11">
        <v>0.17849999999973032</v>
      </c>
      <c r="AR107" s="15"/>
      <c r="AS107" s="11">
        <v>4.01</v>
      </c>
      <c r="AT107" s="11">
        <v>2.0000000000065511E-2</v>
      </c>
      <c r="AU107" s="41"/>
    </row>
    <row r="108" spans="1:47" s="76" customFormat="1" ht="16.5" customHeight="1" x14ac:dyDescent="0.3">
      <c r="A108" s="200"/>
      <c r="B108" s="99" t="s">
        <v>61</v>
      </c>
      <c r="C108" s="78">
        <v>1</v>
      </c>
      <c r="D108" s="79">
        <v>2</v>
      </c>
      <c r="E108" s="80">
        <v>2</v>
      </c>
      <c r="F108" s="79">
        <v>1</v>
      </c>
      <c r="G108" s="79">
        <v>0</v>
      </c>
      <c r="H108" s="87"/>
      <c r="I108" s="88"/>
      <c r="J108" s="89"/>
      <c r="K108" s="88"/>
      <c r="L108" s="80">
        <v>77.802000000000007</v>
      </c>
      <c r="M108" s="81">
        <v>0</v>
      </c>
      <c r="N108" s="84"/>
      <c r="O108" s="80">
        <v>6.15</v>
      </c>
      <c r="P108" s="86">
        <v>0</v>
      </c>
      <c r="Q108" s="85"/>
      <c r="R108" s="9">
        <v>1</v>
      </c>
      <c r="S108" s="10">
        <v>5</v>
      </c>
      <c r="T108" s="11">
        <v>5</v>
      </c>
      <c r="U108" s="10">
        <v>1</v>
      </c>
      <c r="V108" s="10">
        <v>0</v>
      </c>
      <c r="W108" s="10">
        <v>3</v>
      </c>
      <c r="X108" s="11">
        <v>3</v>
      </c>
      <c r="Y108" s="44">
        <v>0</v>
      </c>
      <c r="Z108" s="50">
        <v>4.7966666666666669</v>
      </c>
      <c r="AA108" s="50">
        <v>93.293000000000006</v>
      </c>
      <c r="AB108" s="50">
        <v>0</v>
      </c>
      <c r="AC108" s="15"/>
      <c r="AD108" s="50">
        <v>4.3499999999999996</v>
      </c>
      <c r="AE108" s="50">
        <v>0</v>
      </c>
      <c r="AF108" s="15"/>
      <c r="AG108" s="9">
        <v>1</v>
      </c>
      <c r="AH108" s="10">
        <v>2</v>
      </c>
      <c r="AI108" s="11">
        <v>2</v>
      </c>
      <c r="AJ108" s="10">
        <v>1</v>
      </c>
      <c r="AK108" s="10">
        <v>0</v>
      </c>
      <c r="AL108" s="10">
        <v>2</v>
      </c>
      <c r="AM108" s="11">
        <f>AL108/AG108</f>
        <v>2</v>
      </c>
      <c r="AN108" s="38">
        <f>AK108/(AL108-AG108)*100</f>
        <v>0</v>
      </c>
      <c r="AO108" s="11">
        <v>4.6899999999999995</v>
      </c>
      <c r="AP108" s="11">
        <v>93.850999999999999</v>
      </c>
      <c r="AQ108" s="11">
        <v>0</v>
      </c>
      <c r="AR108" s="15"/>
      <c r="AS108" s="11">
        <v>4.07</v>
      </c>
      <c r="AT108" s="11">
        <v>0</v>
      </c>
      <c r="AU108" s="41"/>
    </row>
    <row r="109" spans="1:47" s="76" customFormat="1" ht="16.5" customHeight="1" x14ac:dyDescent="0.3">
      <c r="A109" s="200"/>
      <c r="B109" s="99" t="s">
        <v>62</v>
      </c>
      <c r="C109" s="78">
        <v>3</v>
      </c>
      <c r="D109" s="79">
        <v>12</v>
      </c>
      <c r="E109" s="80">
        <v>4</v>
      </c>
      <c r="F109" s="79">
        <v>3</v>
      </c>
      <c r="G109" s="79">
        <v>0</v>
      </c>
      <c r="H109" s="87"/>
      <c r="I109" s="88"/>
      <c r="J109" s="89"/>
      <c r="K109" s="88"/>
      <c r="L109" s="80">
        <v>92.551000000000002</v>
      </c>
      <c r="M109" s="81">
        <v>0.3463129605791348</v>
      </c>
      <c r="N109" s="84"/>
      <c r="O109" s="80">
        <v>4.62</v>
      </c>
      <c r="P109" s="86">
        <v>7.7888809636961265E-2</v>
      </c>
      <c r="Q109" s="85"/>
      <c r="R109" s="93"/>
      <c r="S109" s="94"/>
      <c r="T109" s="95"/>
      <c r="U109" s="94"/>
      <c r="V109" s="94"/>
      <c r="W109" s="94"/>
      <c r="X109" s="94"/>
      <c r="Y109" s="94"/>
      <c r="Z109" s="94"/>
      <c r="AA109" s="95"/>
      <c r="AB109" s="94"/>
      <c r="AC109" s="96"/>
      <c r="AD109" s="95"/>
      <c r="AE109" s="94"/>
      <c r="AF109" s="96"/>
      <c r="AG109" s="93"/>
      <c r="AH109" s="94"/>
      <c r="AI109" s="95"/>
      <c r="AJ109" s="94"/>
      <c r="AK109" s="94"/>
      <c r="AL109" s="94"/>
      <c r="AM109" s="94"/>
      <c r="AN109" s="94"/>
      <c r="AO109" s="94"/>
      <c r="AP109" s="95"/>
      <c r="AQ109" s="94"/>
      <c r="AR109" s="96"/>
      <c r="AS109" s="95"/>
      <c r="AT109" s="94"/>
      <c r="AU109" s="98"/>
    </row>
    <row r="110" spans="1:47" x14ac:dyDescent="0.3">
      <c r="A110" s="200"/>
      <c r="B110" s="100" t="s">
        <v>38</v>
      </c>
      <c r="C110" s="14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41"/>
      <c r="R110" s="9">
        <v>1</v>
      </c>
      <c r="S110" s="10">
        <v>1</v>
      </c>
      <c r="T110" s="11">
        <v>1</v>
      </c>
      <c r="U110" s="10">
        <v>0</v>
      </c>
      <c r="V110" s="45" t="s">
        <v>51</v>
      </c>
      <c r="W110" s="10">
        <v>0</v>
      </c>
      <c r="X110" s="11">
        <v>0</v>
      </c>
      <c r="Y110" s="45" t="s">
        <v>51</v>
      </c>
      <c r="Z110" s="50"/>
      <c r="AA110" s="60" t="s">
        <v>49</v>
      </c>
      <c r="AB110" s="60" t="s">
        <v>49</v>
      </c>
      <c r="AC110" s="47"/>
      <c r="AD110" s="60" t="s">
        <v>49</v>
      </c>
      <c r="AE110" s="60" t="s">
        <v>49</v>
      </c>
      <c r="AF110" s="47"/>
      <c r="AG110" s="9">
        <v>2</v>
      </c>
      <c r="AH110" s="10">
        <v>1</v>
      </c>
      <c r="AI110" s="11">
        <v>0.5</v>
      </c>
      <c r="AJ110" s="10">
        <v>0</v>
      </c>
      <c r="AK110" s="10">
        <v>0</v>
      </c>
      <c r="AL110" s="10">
        <v>1</v>
      </c>
      <c r="AM110" s="11">
        <f>AL110/AG110</f>
        <v>0.5</v>
      </c>
      <c r="AN110" s="38">
        <f>AK110/(AL110-AG110)*100</f>
        <v>0</v>
      </c>
      <c r="AO110" s="11">
        <v>5.2</v>
      </c>
      <c r="AP110" s="46" t="s">
        <v>45</v>
      </c>
      <c r="AQ110" s="46" t="s">
        <v>45</v>
      </c>
      <c r="AR110" s="47"/>
      <c r="AS110" s="46" t="s">
        <v>45</v>
      </c>
      <c r="AT110" s="46" t="s">
        <v>45</v>
      </c>
      <c r="AU110" s="140"/>
    </row>
    <row r="111" spans="1:47" x14ac:dyDescent="0.3">
      <c r="A111" s="200"/>
      <c r="B111" s="100" t="s">
        <v>40</v>
      </c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41"/>
      <c r="R111" s="9">
        <v>2</v>
      </c>
      <c r="S111" s="10">
        <v>8</v>
      </c>
      <c r="T111" s="11">
        <v>4</v>
      </c>
      <c r="U111" s="10">
        <v>1</v>
      </c>
      <c r="V111" s="10">
        <v>2</v>
      </c>
      <c r="W111" s="10">
        <v>4</v>
      </c>
      <c r="X111" s="11">
        <v>2</v>
      </c>
      <c r="Y111" s="44">
        <v>100</v>
      </c>
      <c r="Z111" s="50">
        <v>4.67</v>
      </c>
      <c r="AA111" s="50">
        <v>60.975999999999999</v>
      </c>
      <c r="AB111" s="50">
        <v>0</v>
      </c>
      <c r="AC111" s="15"/>
      <c r="AD111" s="50">
        <v>6.55</v>
      </c>
      <c r="AE111" s="50">
        <v>0</v>
      </c>
      <c r="AF111" s="15"/>
      <c r="AG111" s="9">
        <v>1</v>
      </c>
      <c r="AH111" s="10">
        <v>3</v>
      </c>
      <c r="AI111" s="11">
        <v>3</v>
      </c>
      <c r="AJ111" s="10">
        <v>1</v>
      </c>
      <c r="AK111" s="10">
        <v>0</v>
      </c>
      <c r="AL111" s="10">
        <v>1</v>
      </c>
      <c r="AM111" s="11">
        <f>AL111/AG111</f>
        <v>1</v>
      </c>
      <c r="AN111" s="38">
        <v>0</v>
      </c>
      <c r="AO111" s="11">
        <v>5.22</v>
      </c>
      <c r="AP111" s="11">
        <v>83.659000000000006</v>
      </c>
      <c r="AQ111" s="11">
        <v>0</v>
      </c>
      <c r="AR111" s="15"/>
      <c r="AS111" s="11">
        <v>5.22</v>
      </c>
      <c r="AT111" s="11">
        <v>0</v>
      </c>
      <c r="AU111" s="41"/>
    </row>
    <row r="112" spans="1:47" x14ac:dyDescent="0.3">
      <c r="A112" s="200"/>
      <c r="B112" s="100" t="s">
        <v>20</v>
      </c>
      <c r="C112" s="14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41"/>
      <c r="R112" s="9">
        <v>1</v>
      </c>
      <c r="S112" s="10">
        <v>1</v>
      </c>
      <c r="T112" s="11">
        <v>1</v>
      </c>
      <c r="U112" s="10">
        <v>0</v>
      </c>
      <c r="V112" s="45" t="s">
        <v>51</v>
      </c>
      <c r="W112" s="10">
        <v>1</v>
      </c>
      <c r="X112" s="11">
        <v>1</v>
      </c>
      <c r="Y112" s="45" t="s">
        <v>51</v>
      </c>
      <c r="Z112" s="50">
        <v>5.53</v>
      </c>
      <c r="AA112" s="60" t="s">
        <v>49</v>
      </c>
      <c r="AB112" s="60" t="s">
        <v>49</v>
      </c>
      <c r="AC112" s="47"/>
      <c r="AD112" s="60" t="s">
        <v>49</v>
      </c>
      <c r="AE112" s="60" t="s">
        <v>49</v>
      </c>
      <c r="AF112" s="47"/>
      <c r="AG112" s="9">
        <v>1</v>
      </c>
      <c r="AH112" s="10">
        <v>2</v>
      </c>
      <c r="AI112" s="11">
        <v>2</v>
      </c>
      <c r="AJ112" s="10">
        <v>0</v>
      </c>
      <c r="AK112" s="10">
        <v>0</v>
      </c>
      <c r="AL112" s="10">
        <v>1</v>
      </c>
      <c r="AM112" s="11">
        <f>AL112/AG112</f>
        <v>1</v>
      </c>
      <c r="AN112" s="38">
        <v>0</v>
      </c>
      <c r="AO112" s="11">
        <v>3.31</v>
      </c>
      <c r="AP112" s="46" t="s">
        <v>45</v>
      </c>
      <c r="AQ112" s="46" t="s">
        <v>45</v>
      </c>
      <c r="AR112" s="47"/>
      <c r="AS112" s="46" t="s">
        <v>45</v>
      </c>
      <c r="AT112" s="46" t="s">
        <v>45</v>
      </c>
      <c r="AU112" s="140"/>
    </row>
    <row r="113" spans="1:47" s="76" customFormat="1" ht="16.5" customHeight="1" x14ac:dyDescent="0.3">
      <c r="A113" s="200"/>
      <c r="B113" s="99" t="s">
        <v>63</v>
      </c>
      <c r="C113" s="78">
        <v>2</v>
      </c>
      <c r="D113" s="79">
        <v>6</v>
      </c>
      <c r="E113" s="80">
        <v>3</v>
      </c>
      <c r="F113" s="79">
        <v>2</v>
      </c>
      <c r="G113" s="79">
        <v>0</v>
      </c>
      <c r="H113" s="87"/>
      <c r="I113" s="88"/>
      <c r="J113" s="89"/>
      <c r="K113" s="88"/>
      <c r="L113" s="80">
        <v>90.961500000000001</v>
      </c>
      <c r="M113" s="81">
        <v>2.6864999999999437</v>
      </c>
      <c r="N113" s="84"/>
      <c r="O113" s="80">
        <v>4.68</v>
      </c>
      <c r="P113" s="86">
        <v>0.5</v>
      </c>
      <c r="Q113" s="85"/>
      <c r="R113" s="9">
        <v>2</v>
      </c>
      <c r="S113" s="10">
        <v>4</v>
      </c>
      <c r="T113" s="11">
        <v>2</v>
      </c>
      <c r="U113" s="10">
        <v>2</v>
      </c>
      <c r="V113" s="10">
        <v>0</v>
      </c>
      <c r="W113" s="10">
        <v>3</v>
      </c>
      <c r="X113" s="11">
        <v>1.5</v>
      </c>
      <c r="Y113" s="44">
        <v>0</v>
      </c>
      <c r="Z113" s="50">
        <v>5.8599999999999994</v>
      </c>
      <c r="AA113" s="50">
        <v>83.978999999999999</v>
      </c>
      <c r="AB113" s="50">
        <v>1.8770000000000409</v>
      </c>
      <c r="AC113" s="15"/>
      <c r="AD113" s="50">
        <v>5.8650000000000002</v>
      </c>
      <c r="AE113" s="50">
        <v>0.17499999999998131</v>
      </c>
      <c r="AF113" s="15"/>
      <c r="AG113" s="9">
        <v>2</v>
      </c>
      <c r="AH113" s="10">
        <v>5</v>
      </c>
      <c r="AI113" s="11">
        <v>2.5</v>
      </c>
      <c r="AJ113" s="10">
        <v>1</v>
      </c>
      <c r="AK113" s="10">
        <v>2</v>
      </c>
      <c r="AL113" s="10">
        <v>4</v>
      </c>
      <c r="AM113" s="11">
        <f>AL113/AG113</f>
        <v>2</v>
      </c>
      <c r="AN113" s="38">
        <f>AK113/(AL113-AG113)*100</f>
        <v>100</v>
      </c>
      <c r="AO113" s="11">
        <v>5.1449999999999996</v>
      </c>
      <c r="AP113" s="11">
        <v>83.034000000000006</v>
      </c>
      <c r="AQ113" s="11">
        <v>0</v>
      </c>
      <c r="AR113" s="15"/>
      <c r="AS113" s="11">
        <v>5.31</v>
      </c>
      <c r="AT113" s="11">
        <v>0</v>
      </c>
      <c r="AU113" s="41"/>
    </row>
    <row r="114" spans="1:47" s="76" customFormat="1" ht="16.5" customHeight="1" x14ac:dyDescent="0.3">
      <c r="A114" s="200"/>
      <c r="B114" s="99" t="s">
        <v>64</v>
      </c>
      <c r="C114" s="78">
        <v>2</v>
      </c>
      <c r="D114" s="79">
        <v>4</v>
      </c>
      <c r="E114" s="80">
        <v>2</v>
      </c>
      <c r="F114" s="79">
        <v>2</v>
      </c>
      <c r="G114" s="79">
        <v>0</v>
      </c>
      <c r="H114" s="87"/>
      <c r="I114" s="88"/>
      <c r="J114" s="89"/>
      <c r="K114" s="88"/>
      <c r="L114" s="80">
        <v>87.784999999999997</v>
      </c>
      <c r="M114" s="81">
        <v>1.8650000000004443</v>
      </c>
      <c r="N114" s="84"/>
      <c r="O114" s="80">
        <v>4.9950000000000001</v>
      </c>
      <c r="P114" s="86">
        <v>0.23500000000000773</v>
      </c>
      <c r="Q114" s="85"/>
      <c r="R114" s="9">
        <v>2</v>
      </c>
      <c r="S114" s="10">
        <v>5</v>
      </c>
      <c r="T114" s="11">
        <v>2.5</v>
      </c>
      <c r="U114" s="10">
        <v>0</v>
      </c>
      <c r="V114" s="10">
        <v>2</v>
      </c>
      <c r="W114" s="10">
        <v>4</v>
      </c>
      <c r="X114" s="11">
        <v>2</v>
      </c>
      <c r="Y114" s="44">
        <v>100</v>
      </c>
      <c r="Z114" s="50">
        <v>5.4550000000000001</v>
      </c>
      <c r="AA114" s="60" t="s">
        <v>49</v>
      </c>
      <c r="AB114" s="60" t="s">
        <v>49</v>
      </c>
      <c r="AC114" s="47"/>
      <c r="AD114" s="60" t="s">
        <v>49</v>
      </c>
      <c r="AE114" s="60" t="s">
        <v>49</v>
      </c>
      <c r="AF114" s="47"/>
      <c r="AG114" s="9">
        <v>1</v>
      </c>
      <c r="AH114" s="10">
        <v>2</v>
      </c>
      <c r="AI114" s="11">
        <v>2</v>
      </c>
      <c r="AJ114" s="10">
        <v>0</v>
      </c>
      <c r="AK114" s="10">
        <v>0</v>
      </c>
      <c r="AL114" s="10">
        <v>1</v>
      </c>
      <c r="AM114" s="11">
        <f>AL114/AG114</f>
        <v>1</v>
      </c>
      <c r="AN114" s="38">
        <v>0</v>
      </c>
      <c r="AO114" s="11">
        <v>5.58</v>
      </c>
      <c r="AP114" s="46" t="s">
        <v>45</v>
      </c>
      <c r="AQ114" s="46" t="s">
        <v>45</v>
      </c>
      <c r="AR114" s="47"/>
      <c r="AS114" s="46" t="s">
        <v>45</v>
      </c>
      <c r="AT114" s="46" t="s">
        <v>45</v>
      </c>
      <c r="AU114" s="140"/>
    </row>
    <row r="115" spans="1:47" s="76" customFormat="1" ht="16.5" customHeight="1" x14ac:dyDescent="0.3">
      <c r="A115" s="200"/>
      <c r="B115" s="99" t="s">
        <v>65</v>
      </c>
      <c r="C115" s="78">
        <v>1</v>
      </c>
      <c r="D115" s="79">
        <v>1</v>
      </c>
      <c r="E115" s="80">
        <v>1</v>
      </c>
      <c r="F115" s="79">
        <v>1</v>
      </c>
      <c r="G115" s="79">
        <v>0</v>
      </c>
      <c r="H115" s="87"/>
      <c r="I115" s="88"/>
      <c r="J115" s="89"/>
      <c r="K115" s="88"/>
      <c r="L115" s="80">
        <v>81.2</v>
      </c>
      <c r="M115" s="81">
        <v>0</v>
      </c>
      <c r="N115" s="84"/>
      <c r="O115" s="80">
        <v>5.92</v>
      </c>
      <c r="P115" s="86">
        <v>0</v>
      </c>
      <c r="Q115" s="85"/>
      <c r="R115" s="93"/>
      <c r="S115" s="94"/>
      <c r="T115" s="95"/>
      <c r="U115" s="94"/>
      <c r="V115" s="94"/>
      <c r="W115" s="94"/>
      <c r="X115" s="94"/>
      <c r="Y115" s="94"/>
      <c r="Z115" s="94"/>
      <c r="AA115" s="95"/>
      <c r="AB115" s="94"/>
      <c r="AC115" s="96"/>
      <c r="AD115" s="95"/>
      <c r="AE115" s="94"/>
      <c r="AF115" s="96"/>
      <c r="AG115" s="93"/>
      <c r="AH115" s="94"/>
      <c r="AI115" s="95"/>
      <c r="AJ115" s="94"/>
      <c r="AK115" s="94"/>
      <c r="AL115" s="94"/>
      <c r="AM115" s="94"/>
      <c r="AN115" s="94"/>
      <c r="AO115" s="94"/>
      <c r="AP115" s="95"/>
      <c r="AQ115" s="94"/>
      <c r="AR115" s="96"/>
      <c r="AS115" s="95"/>
      <c r="AT115" s="94"/>
      <c r="AU115" s="98"/>
    </row>
    <row r="116" spans="1:47" s="76" customFormat="1" ht="16.5" customHeight="1" x14ac:dyDescent="0.3">
      <c r="A116" s="200"/>
      <c r="B116" s="99" t="s">
        <v>66</v>
      </c>
      <c r="C116" s="78">
        <v>11</v>
      </c>
      <c r="D116" s="79">
        <v>29</v>
      </c>
      <c r="E116" s="80">
        <v>2.6363636363636362</v>
      </c>
      <c r="F116" s="79">
        <v>11</v>
      </c>
      <c r="G116" s="79">
        <v>7</v>
      </c>
      <c r="H116" s="87"/>
      <c r="I116" s="88"/>
      <c r="J116" s="89"/>
      <c r="K116" s="88"/>
      <c r="L116" s="80">
        <v>90.173090909090917</v>
      </c>
      <c r="M116" s="81">
        <v>3.0205451782007962</v>
      </c>
      <c r="N116" s="84"/>
      <c r="O116" s="80">
        <v>4.8672727272727281</v>
      </c>
      <c r="P116" s="86">
        <v>0.66614345860182866</v>
      </c>
      <c r="Q116" s="85"/>
      <c r="R116" s="9">
        <v>2</v>
      </c>
      <c r="S116" s="10">
        <v>6</v>
      </c>
      <c r="T116" s="11">
        <v>3</v>
      </c>
      <c r="U116" s="10">
        <v>0</v>
      </c>
      <c r="V116" s="45" t="s">
        <v>51</v>
      </c>
      <c r="W116" s="10">
        <v>2</v>
      </c>
      <c r="X116" s="11">
        <v>1</v>
      </c>
      <c r="Y116" s="45" t="s">
        <v>51</v>
      </c>
      <c r="Z116" s="50">
        <v>4.5600000000000005</v>
      </c>
      <c r="AA116" s="60" t="s">
        <v>49</v>
      </c>
      <c r="AB116" s="60" t="s">
        <v>49</v>
      </c>
      <c r="AC116" s="15"/>
      <c r="AD116" s="60" t="s">
        <v>49</v>
      </c>
      <c r="AE116" s="60" t="s">
        <v>49</v>
      </c>
      <c r="AF116" s="15"/>
      <c r="AG116" s="9">
        <v>2</v>
      </c>
      <c r="AH116" s="10">
        <v>6</v>
      </c>
      <c r="AI116" s="11">
        <v>3</v>
      </c>
      <c r="AJ116" s="10">
        <v>2</v>
      </c>
      <c r="AK116" s="10">
        <v>0</v>
      </c>
      <c r="AL116" s="10">
        <v>2</v>
      </c>
      <c r="AM116" s="11">
        <f>AL116/AG116</f>
        <v>1</v>
      </c>
      <c r="AN116" s="38">
        <v>0</v>
      </c>
      <c r="AO116" s="11">
        <v>5.5350000000000001</v>
      </c>
      <c r="AP116" s="11">
        <v>81.496499999999997</v>
      </c>
      <c r="AQ116" s="11">
        <v>7.4295000000000098</v>
      </c>
      <c r="AR116" s="15"/>
      <c r="AS116" s="11">
        <v>5.5350000000000001</v>
      </c>
      <c r="AT116" s="11">
        <v>0.67499999999999827</v>
      </c>
      <c r="AU116" s="41"/>
    </row>
    <row r="117" spans="1:47" s="76" customFormat="1" ht="16.5" customHeight="1" thickBot="1" x14ac:dyDescent="0.35">
      <c r="A117" s="202"/>
      <c r="B117" s="121" t="s">
        <v>67</v>
      </c>
      <c r="C117" s="139">
        <v>49</v>
      </c>
      <c r="D117" s="122">
        <v>213</v>
      </c>
      <c r="E117" s="123">
        <v>4.3469387755102042</v>
      </c>
      <c r="F117" s="122">
        <v>49</v>
      </c>
      <c r="G117" s="122">
        <v>73</v>
      </c>
      <c r="H117" s="124"/>
      <c r="I117" s="125"/>
      <c r="J117" s="126"/>
      <c r="K117" s="125"/>
      <c r="L117" s="123">
        <v>90.341795918367353</v>
      </c>
      <c r="M117" s="127">
        <v>3.8745051085135933</v>
      </c>
      <c r="N117" s="128"/>
      <c r="O117" s="123">
        <v>4.8120408163265322</v>
      </c>
      <c r="P117" s="129">
        <v>0.71686101346057474</v>
      </c>
      <c r="Q117" s="130"/>
      <c r="R117" s="18">
        <v>49</v>
      </c>
      <c r="S117" s="19">
        <v>137</v>
      </c>
      <c r="T117" s="20">
        <v>2.795918367346939</v>
      </c>
      <c r="U117" s="19">
        <v>36</v>
      </c>
      <c r="V117" s="19">
        <v>26</v>
      </c>
      <c r="W117" s="19">
        <v>88</v>
      </c>
      <c r="X117" s="20">
        <v>1.7959183673469388</v>
      </c>
      <c r="Y117" s="40">
        <v>66.666666666666657</v>
      </c>
      <c r="Z117" s="59">
        <v>4.9312500000000012</v>
      </c>
      <c r="AA117" s="59">
        <v>87.510583333333358</v>
      </c>
      <c r="AB117" s="59">
        <v>7.6451780677427319</v>
      </c>
      <c r="AC117" s="27"/>
      <c r="AD117" s="20">
        <v>5.0186111111111114</v>
      </c>
      <c r="AE117" s="20">
        <v>0.72669400857497191</v>
      </c>
      <c r="AF117" s="27"/>
      <c r="AG117" s="18">
        <v>48</v>
      </c>
      <c r="AH117" s="19">
        <v>123</v>
      </c>
      <c r="AI117" s="20">
        <v>2.5625</v>
      </c>
      <c r="AJ117" s="19">
        <v>29</v>
      </c>
      <c r="AK117" s="19">
        <v>23</v>
      </c>
      <c r="AL117" s="19">
        <v>84</v>
      </c>
      <c r="AM117" s="20">
        <f t="shared" ref="AM117" si="9">AL117/AG117</f>
        <v>1.75</v>
      </c>
      <c r="AN117" s="40">
        <f t="shared" ref="AN117" si="10">AK117/(AL117-AG117)*100</f>
        <v>63.888888888888886</v>
      </c>
      <c r="AO117" s="20">
        <v>4.4388095238095229</v>
      </c>
      <c r="AP117" s="20">
        <v>88.291655172413797</v>
      </c>
      <c r="AQ117" s="20">
        <v>7.4733433605410529</v>
      </c>
      <c r="AR117" s="27"/>
      <c r="AS117" s="20">
        <v>4.6975862068965535</v>
      </c>
      <c r="AT117" s="20">
        <v>0.85207922236670419</v>
      </c>
      <c r="AU117" s="42"/>
    </row>
    <row r="118" spans="1:47" s="76" customFormat="1" ht="16.5" customHeight="1" x14ac:dyDescent="0.3">
      <c r="A118" s="201" t="s">
        <v>73</v>
      </c>
      <c r="B118" s="111" t="s">
        <v>54</v>
      </c>
      <c r="C118" s="138">
        <v>3</v>
      </c>
      <c r="D118" s="112">
        <v>20</v>
      </c>
      <c r="E118" s="113">
        <v>6.666666666666667</v>
      </c>
      <c r="F118" s="112">
        <v>3</v>
      </c>
      <c r="G118" s="112">
        <v>8</v>
      </c>
      <c r="H118" s="114"/>
      <c r="I118" s="115"/>
      <c r="J118" s="116"/>
      <c r="K118" s="115"/>
      <c r="L118" s="113">
        <v>95.927666666666667</v>
      </c>
      <c r="M118" s="117">
        <v>1.2026471727904222</v>
      </c>
      <c r="N118" s="118"/>
      <c r="O118" s="113">
        <v>3.0366666666666666</v>
      </c>
      <c r="P118" s="119">
        <v>0.60068479439904432</v>
      </c>
      <c r="Q118" s="120"/>
      <c r="R118" s="93"/>
      <c r="S118" s="94"/>
      <c r="T118" s="95"/>
      <c r="U118" s="94"/>
      <c r="V118" s="94"/>
      <c r="W118" s="94"/>
      <c r="X118" s="94"/>
      <c r="Y118" s="94"/>
      <c r="Z118" s="94"/>
      <c r="AA118" s="95"/>
      <c r="AB118" s="94"/>
      <c r="AC118" s="96"/>
      <c r="AD118" s="95"/>
      <c r="AE118" s="94"/>
      <c r="AF118" s="96"/>
      <c r="AG118" s="93"/>
      <c r="AH118" s="94"/>
      <c r="AI118" s="95"/>
      <c r="AJ118" s="94"/>
      <c r="AK118" s="94"/>
      <c r="AL118" s="94"/>
      <c r="AM118" s="94"/>
      <c r="AN118" s="94"/>
      <c r="AO118" s="94"/>
      <c r="AP118" s="95"/>
      <c r="AQ118" s="94"/>
      <c r="AR118" s="96"/>
      <c r="AS118" s="95"/>
      <c r="AT118" s="94"/>
      <c r="AU118" s="98"/>
    </row>
    <row r="119" spans="1:47" x14ac:dyDescent="0.3">
      <c r="A119" s="200"/>
      <c r="B119" s="100" t="s">
        <v>14</v>
      </c>
      <c r="C119" s="14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41"/>
      <c r="R119" s="9">
        <v>1</v>
      </c>
      <c r="S119" s="10">
        <v>11</v>
      </c>
      <c r="T119" s="11">
        <v>11</v>
      </c>
      <c r="U119" s="10">
        <v>1</v>
      </c>
      <c r="V119" s="22">
        <v>1</v>
      </c>
      <c r="W119" s="15"/>
      <c r="X119" s="15"/>
      <c r="Y119" s="15"/>
      <c r="Z119" s="15"/>
      <c r="AA119" s="50">
        <v>99.391000000000005</v>
      </c>
      <c r="AB119" s="50">
        <v>0</v>
      </c>
      <c r="AC119" s="15"/>
      <c r="AD119" s="50">
        <v>1.3</v>
      </c>
      <c r="AE119" s="50">
        <v>0</v>
      </c>
      <c r="AF119" s="15"/>
      <c r="AG119" s="9">
        <v>1</v>
      </c>
      <c r="AH119" s="10">
        <v>17</v>
      </c>
      <c r="AI119" s="11">
        <v>17</v>
      </c>
      <c r="AJ119" s="10">
        <v>1</v>
      </c>
      <c r="AK119" s="10">
        <v>1</v>
      </c>
      <c r="AL119" s="15"/>
      <c r="AM119" s="15"/>
      <c r="AN119" s="15"/>
      <c r="AO119" s="15"/>
      <c r="AP119" s="11">
        <v>98.921000000000006</v>
      </c>
      <c r="AQ119" s="11">
        <v>0</v>
      </c>
      <c r="AR119" s="15"/>
      <c r="AS119" s="11">
        <v>1.54</v>
      </c>
      <c r="AT119" s="11">
        <v>0</v>
      </c>
      <c r="AU119" s="41"/>
    </row>
    <row r="120" spans="1:47" x14ac:dyDescent="0.3">
      <c r="A120" s="200"/>
      <c r="B120" s="100" t="s">
        <v>16</v>
      </c>
      <c r="C120" s="14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41"/>
      <c r="R120" s="9">
        <v>1</v>
      </c>
      <c r="S120" s="10">
        <v>13</v>
      </c>
      <c r="T120" s="11">
        <v>13</v>
      </c>
      <c r="U120" s="10">
        <v>1</v>
      </c>
      <c r="V120" s="22">
        <v>5</v>
      </c>
      <c r="W120" s="15"/>
      <c r="X120" s="15"/>
      <c r="Y120" s="15"/>
      <c r="Z120" s="15"/>
      <c r="AA120" s="50">
        <v>96.328000000000003</v>
      </c>
      <c r="AB120" s="50">
        <v>0</v>
      </c>
      <c r="AC120" s="15"/>
      <c r="AD120" s="50">
        <v>2.84</v>
      </c>
      <c r="AE120" s="50">
        <v>0</v>
      </c>
      <c r="AF120" s="15"/>
      <c r="AG120" s="9">
        <v>1</v>
      </c>
      <c r="AH120" s="10">
        <v>5</v>
      </c>
      <c r="AI120" s="11">
        <v>5</v>
      </c>
      <c r="AJ120" s="10">
        <v>1</v>
      </c>
      <c r="AK120" s="10">
        <v>3</v>
      </c>
      <c r="AL120" s="15"/>
      <c r="AM120" s="15"/>
      <c r="AN120" s="15"/>
      <c r="AO120" s="15"/>
      <c r="AP120" s="11">
        <v>93.566999999999993</v>
      </c>
      <c r="AQ120" s="11">
        <v>0</v>
      </c>
      <c r="AR120" s="15"/>
      <c r="AS120" s="11">
        <v>4.22</v>
      </c>
      <c r="AT120" s="11">
        <v>0</v>
      </c>
      <c r="AU120" s="41"/>
    </row>
    <row r="121" spans="1:47" x14ac:dyDescent="0.3">
      <c r="A121" s="200"/>
      <c r="B121" s="100" t="s">
        <v>19</v>
      </c>
      <c r="C121" s="14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41"/>
      <c r="R121" s="9">
        <v>1</v>
      </c>
      <c r="S121" s="10">
        <v>5</v>
      </c>
      <c r="T121" s="11">
        <v>5</v>
      </c>
      <c r="U121" s="10">
        <v>1</v>
      </c>
      <c r="V121" s="22">
        <v>4</v>
      </c>
      <c r="W121" s="15"/>
      <c r="X121" s="15"/>
      <c r="Y121" s="15"/>
      <c r="Z121" s="15"/>
      <c r="AA121" s="50">
        <v>91.385999999999996</v>
      </c>
      <c r="AB121" s="50">
        <v>0</v>
      </c>
      <c r="AC121" s="15"/>
      <c r="AD121" s="50">
        <v>4.47</v>
      </c>
      <c r="AE121" s="50">
        <v>0</v>
      </c>
      <c r="AF121" s="15"/>
      <c r="AG121" s="9">
        <v>1</v>
      </c>
      <c r="AH121" s="10">
        <v>6</v>
      </c>
      <c r="AI121" s="11">
        <v>6</v>
      </c>
      <c r="AJ121" s="10">
        <v>1</v>
      </c>
      <c r="AK121" s="10">
        <v>0</v>
      </c>
      <c r="AL121" s="15"/>
      <c r="AM121" s="15"/>
      <c r="AN121" s="15"/>
      <c r="AO121" s="15"/>
      <c r="AP121" s="11">
        <v>98.251999999999995</v>
      </c>
      <c r="AQ121" s="11">
        <v>0</v>
      </c>
      <c r="AR121" s="15"/>
      <c r="AS121" s="11">
        <v>1.87</v>
      </c>
      <c r="AT121" s="11">
        <v>0</v>
      </c>
      <c r="AU121" s="41"/>
    </row>
    <row r="122" spans="1:47" s="76" customFormat="1" ht="16.5" customHeight="1" x14ac:dyDescent="0.3">
      <c r="A122" s="200"/>
      <c r="B122" s="99" t="s">
        <v>55</v>
      </c>
      <c r="C122" s="78">
        <v>2</v>
      </c>
      <c r="D122" s="79">
        <v>25</v>
      </c>
      <c r="E122" s="80">
        <v>12.5</v>
      </c>
      <c r="F122" s="79">
        <v>1</v>
      </c>
      <c r="G122" s="79">
        <v>1</v>
      </c>
      <c r="H122" s="87"/>
      <c r="I122" s="88"/>
      <c r="J122" s="89"/>
      <c r="K122" s="88"/>
      <c r="L122" s="80">
        <v>98.501999999999995</v>
      </c>
      <c r="M122" s="81">
        <v>0</v>
      </c>
      <c r="N122" s="84"/>
      <c r="O122" s="80">
        <v>1.75</v>
      </c>
      <c r="P122" s="86">
        <v>0</v>
      </c>
      <c r="Q122" s="85"/>
      <c r="R122" s="93"/>
      <c r="S122" s="94"/>
      <c r="T122" s="95"/>
      <c r="U122" s="94"/>
      <c r="V122" s="94"/>
      <c r="W122" s="94"/>
      <c r="X122" s="94"/>
      <c r="Y122" s="94"/>
      <c r="Z122" s="94"/>
      <c r="AA122" s="95"/>
      <c r="AB122" s="94"/>
      <c r="AC122" s="96"/>
      <c r="AD122" s="95"/>
      <c r="AE122" s="94"/>
      <c r="AF122" s="96"/>
      <c r="AG122" s="93"/>
      <c r="AH122" s="94"/>
      <c r="AI122" s="95"/>
      <c r="AJ122" s="94"/>
      <c r="AK122" s="94"/>
      <c r="AL122" s="94"/>
      <c r="AM122" s="94"/>
      <c r="AN122" s="94"/>
      <c r="AO122" s="94"/>
      <c r="AP122" s="95"/>
      <c r="AQ122" s="94"/>
      <c r="AR122" s="96"/>
      <c r="AS122" s="95"/>
      <c r="AT122" s="94"/>
      <c r="AU122" s="98"/>
    </row>
    <row r="123" spans="1:47" x14ac:dyDescent="0.3">
      <c r="A123" s="200"/>
      <c r="B123" s="104" t="s">
        <v>12</v>
      </c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41"/>
      <c r="R123" s="21">
        <v>1</v>
      </c>
      <c r="S123" s="22">
        <v>15</v>
      </c>
      <c r="T123" s="23">
        <v>15</v>
      </c>
      <c r="U123" s="22">
        <v>1</v>
      </c>
      <c r="V123" s="22">
        <v>0</v>
      </c>
      <c r="W123" s="24"/>
      <c r="X123" s="24"/>
      <c r="Y123" s="24"/>
      <c r="Z123" s="24"/>
      <c r="AA123" s="61">
        <v>99.016000000000005</v>
      </c>
      <c r="AB123" s="61">
        <v>0</v>
      </c>
      <c r="AC123" s="24"/>
      <c r="AD123" s="23">
        <v>1.49</v>
      </c>
      <c r="AE123" s="23">
        <v>0</v>
      </c>
      <c r="AF123" s="24"/>
      <c r="AG123" s="21">
        <v>1</v>
      </c>
      <c r="AH123" s="22">
        <v>20</v>
      </c>
      <c r="AI123" s="23">
        <v>20</v>
      </c>
      <c r="AJ123" s="22">
        <v>1</v>
      </c>
      <c r="AK123" s="22">
        <v>4</v>
      </c>
      <c r="AL123" s="24"/>
      <c r="AM123" s="24"/>
      <c r="AN123" s="24"/>
      <c r="AO123" s="24"/>
      <c r="AP123" s="23">
        <v>99.3</v>
      </c>
      <c r="AQ123" s="23">
        <v>0</v>
      </c>
      <c r="AR123" s="24"/>
      <c r="AS123" s="23">
        <v>1.35</v>
      </c>
      <c r="AT123" s="23">
        <v>0</v>
      </c>
      <c r="AU123" s="141"/>
    </row>
    <row r="124" spans="1:47" x14ac:dyDescent="0.3">
      <c r="A124" s="200"/>
      <c r="B124" s="100" t="s">
        <v>13</v>
      </c>
      <c r="C124" s="14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41"/>
      <c r="R124" s="14"/>
      <c r="S124" s="15"/>
      <c r="T124" s="16"/>
      <c r="U124" s="15"/>
      <c r="V124" s="15"/>
      <c r="W124" s="15"/>
      <c r="X124" s="15"/>
      <c r="Y124" s="15"/>
      <c r="Z124" s="15"/>
      <c r="AA124" s="62"/>
      <c r="AB124" s="53"/>
      <c r="AC124" s="15"/>
      <c r="AD124" s="16"/>
      <c r="AE124" s="16"/>
      <c r="AF124" s="15"/>
      <c r="AG124" s="9">
        <v>1</v>
      </c>
      <c r="AH124" s="10">
        <v>7</v>
      </c>
      <c r="AI124" s="11">
        <v>7</v>
      </c>
      <c r="AJ124" s="10">
        <v>1</v>
      </c>
      <c r="AK124" s="10">
        <v>0</v>
      </c>
      <c r="AL124" s="15"/>
      <c r="AM124" s="15"/>
      <c r="AN124" s="15"/>
      <c r="AO124" s="15"/>
      <c r="AP124" s="11">
        <v>98.426000000000002</v>
      </c>
      <c r="AQ124" s="11">
        <v>0</v>
      </c>
      <c r="AR124" s="15"/>
      <c r="AS124" s="11">
        <v>1.79</v>
      </c>
      <c r="AT124" s="11">
        <v>0</v>
      </c>
      <c r="AU124" s="41"/>
    </row>
    <row r="125" spans="1:47" x14ac:dyDescent="0.3">
      <c r="A125" s="200"/>
      <c r="B125" s="100" t="s">
        <v>48</v>
      </c>
      <c r="C125" s="14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41"/>
      <c r="R125" s="9">
        <v>1</v>
      </c>
      <c r="S125" s="10">
        <v>10</v>
      </c>
      <c r="T125" s="11">
        <v>10</v>
      </c>
      <c r="U125" s="10">
        <v>1</v>
      </c>
      <c r="V125" s="22">
        <v>2</v>
      </c>
      <c r="W125" s="15"/>
      <c r="X125" s="15"/>
      <c r="Y125" s="15"/>
      <c r="Z125" s="15"/>
      <c r="AA125" s="50">
        <v>97.926000000000002</v>
      </c>
      <c r="AB125" s="50">
        <v>0</v>
      </c>
      <c r="AC125" s="15"/>
      <c r="AD125" s="50">
        <v>2.04</v>
      </c>
      <c r="AE125" s="50">
        <v>0</v>
      </c>
      <c r="AF125" s="15"/>
      <c r="AG125" s="9">
        <v>1</v>
      </c>
      <c r="AH125" s="10">
        <v>7</v>
      </c>
      <c r="AI125" s="11">
        <v>7</v>
      </c>
      <c r="AJ125" s="10">
        <v>1</v>
      </c>
      <c r="AK125" s="10">
        <v>3</v>
      </c>
      <c r="AL125" s="15"/>
      <c r="AM125" s="15"/>
      <c r="AN125" s="15"/>
      <c r="AO125" s="15"/>
      <c r="AP125" s="11">
        <v>97.667000000000002</v>
      </c>
      <c r="AQ125" s="11">
        <v>0</v>
      </c>
      <c r="AR125" s="15"/>
      <c r="AS125" s="11">
        <v>2.17</v>
      </c>
      <c r="AT125" s="11">
        <v>0</v>
      </c>
      <c r="AU125" s="41"/>
    </row>
    <row r="126" spans="1:47" s="76" customFormat="1" ht="16.5" customHeight="1" x14ac:dyDescent="0.3">
      <c r="A126" s="200"/>
      <c r="B126" s="99" t="s">
        <v>56</v>
      </c>
      <c r="C126" s="78">
        <v>1</v>
      </c>
      <c r="D126" s="79">
        <v>8</v>
      </c>
      <c r="E126" s="80">
        <v>8</v>
      </c>
      <c r="F126" s="79">
        <v>1</v>
      </c>
      <c r="G126" s="79">
        <v>0</v>
      </c>
      <c r="H126" s="87"/>
      <c r="I126" s="88"/>
      <c r="J126" s="89"/>
      <c r="K126" s="88"/>
      <c r="L126" s="80">
        <v>98.308999999999997</v>
      </c>
      <c r="M126" s="81">
        <v>0</v>
      </c>
      <c r="N126" s="84"/>
      <c r="O126" s="80">
        <v>1.85</v>
      </c>
      <c r="P126" s="86">
        <v>0</v>
      </c>
      <c r="Q126" s="85"/>
      <c r="R126" s="9">
        <v>1</v>
      </c>
      <c r="S126" s="10">
        <v>8</v>
      </c>
      <c r="T126" s="11">
        <v>8</v>
      </c>
      <c r="U126" s="10">
        <v>1</v>
      </c>
      <c r="V126" s="22">
        <v>1</v>
      </c>
      <c r="W126" s="15"/>
      <c r="X126" s="15"/>
      <c r="Y126" s="15"/>
      <c r="Z126" s="15"/>
      <c r="AA126" s="50">
        <v>99.626999999999995</v>
      </c>
      <c r="AB126" s="50">
        <v>0</v>
      </c>
      <c r="AC126" s="15"/>
      <c r="AD126" s="50">
        <v>1.19</v>
      </c>
      <c r="AE126" s="50">
        <v>0</v>
      </c>
      <c r="AF126" s="15"/>
      <c r="AG126" s="14"/>
      <c r="AH126" s="15"/>
      <c r="AI126" s="16"/>
      <c r="AJ126" s="15"/>
      <c r="AK126" s="15"/>
      <c r="AL126" s="15"/>
      <c r="AM126" s="15"/>
      <c r="AN126" s="15"/>
      <c r="AO126" s="15"/>
      <c r="AP126" s="16"/>
      <c r="AQ126" s="16"/>
      <c r="AR126" s="15"/>
      <c r="AS126" s="16"/>
      <c r="AT126" s="16"/>
      <c r="AU126" s="41"/>
    </row>
    <row r="127" spans="1:47" s="76" customFormat="1" ht="16.5" customHeight="1" x14ac:dyDescent="0.3">
      <c r="A127" s="200"/>
      <c r="B127" s="99" t="s">
        <v>57</v>
      </c>
      <c r="C127" s="78">
        <v>2</v>
      </c>
      <c r="D127" s="79">
        <v>7</v>
      </c>
      <c r="E127" s="80">
        <v>3.5</v>
      </c>
      <c r="F127" s="79">
        <v>2</v>
      </c>
      <c r="G127" s="79">
        <v>1</v>
      </c>
      <c r="H127" s="87"/>
      <c r="I127" s="88"/>
      <c r="J127" s="89"/>
      <c r="K127" s="88"/>
      <c r="L127" s="80">
        <v>97.557000000000002</v>
      </c>
      <c r="M127" s="81">
        <v>0.41999999999817406</v>
      </c>
      <c r="N127" s="84"/>
      <c r="O127" s="80">
        <v>2.2199999999999998</v>
      </c>
      <c r="P127" s="86">
        <v>0.21000000000000271</v>
      </c>
      <c r="Q127" s="85"/>
      <c r="R127" s="93"/>
      <c r="S127" s="94"/>
      <c r="T127" s="95"/>
      <c r="U127" s="94"/>
      <c r="V127" s="94"/>
      <c r="W127" s="94"/>
      <c r="X127" s="94"/>
      <c r="Y127" s="94"/>
      <c r="Z127" s="94"/>
      <c r="AA127" s="95"/>
      <c r="AB127" s="94"/>
      <c r="AC127" s="96"/>
      <c r="AD127" s="95"/>
      <c r="AE127" s="94"/>
      <c r="AF127" s="96"/>
      <c r="AG127" s="93"/>
      <c r="AH127" s="94"/>
      <c r="AI127" s="95"/>
      <c r="AJ127" s="94"/>
      <c r="AK127" s="94"/>
      <c r="AL127" s="94"/>
      <c r="AM127" s="94"/>
      <c r="AN127" s="94"/>
      <c r="AO127" s="94"/>
      <c r="AP127" s="95"/>
      <c r="AQ127" s="94"/>
      <c r="AR127" s="96"/>
      <c r="AS127" s="95"/>
      <c r="AT127" s="94"/>
      <c r="AU127" s="98"/>
    </row>
    <row r="128" spans="1:47" x14ac:dyDescent="0.3">
      <c r="A128" s="200"/>
      <c r="B128" s="100" t="s">
        <v>50</v>
      </c>
      <c r="C128" s="14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41"/>
      <c r="R128" s="9">
        <v>1</v>
      </c>
      <c r="S128" s="10">
        <v>5</v>
      </c>
      <c r="T128" s="11">
        <v>5</v>
      </c>
      <c r="U128" s="10">
        <v>1</v>
      </c>
      <c r="V128" s="22">
        <v>0</v>
      </c>
      <c r="W128" s="15"/>
      <c r="X128" s="15"/>
      <c r="Y128" s="15"/>
      <c r="Z128" s="15"/>
      <c r="AA128" s="50">
        <v>97.323999999999998</v>
      </c>
      <c r="AB128" s="50">
        <v>0</v>
      </c>
      <c r="AC128" s="15"/>
      <c r="AD128" s="50">
        <v>2.34</v>
      </c>
      <c r="AE128" s="50">
        <v>0</v>
      </c>
      <c r="AF128" s="15"/>
      <c r="AG128" s="9">
        <v>1</v>
      </c>
      <c r="AH128" s="10">
        <v>8</v>
      </c>
      <c r="AI128" s="11">
        <v>8</v>
      </c>
      <c r="AJ128" s="10">
        <v>1</v>
      </c>
      <c r="AK128" s="10">
        <v>3</v>
      </c>
      <c r="AL128" s="15"/>
      <c r="AM128" s="15"/>
      <c r="AN128" s="15"/>
      <c r="AO128" s="15"/>
      <c r="AP128" s="11">
        <v>98.284000000000006</v>
      </c>
      <c r="AQ128" s="11">
        <v>0</v>
      </c>
      <c r="AR128" s="15"/>
      <c r="AS128" s="11">
        <v>1.86</v>
      </c>
      <c r="AT128" s="11">
        <v>0</v>
      </c>
      <c r="AU128" s="41"/>
    </row>
    <row r="129" spans="1:47" x14ac:dyDescent="0.3">
      <c r="A129" s="200"/>
      <c r="B129" s="100" t="s">
        <v>21</v>
      </c>
      <c r="C129" s="14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41"/>
      <c r="R129" s="9">
        <v>1</v>
      </c>
      <c r="S129" s="10">
        <v>2</v>
      </c>
      <c r="T129" s="11">
        <v>2</v>
      </c>
      <c r="U129" s="10">
        <v>1</v>
      </c>
      <c r="V129" s="22">
        <v>0</v>
      </c>
      <c r="W129" s="15"/>
      <c r="X129" s="15"/>
      <c r="Y129" s="15"/>
      <c r="Z129" s="15"/>
      <c r="AA129" s="58">
        <v>95.619</v>
      </c>
      <c r="AB129" s="58">
        <v>0</v>
      </c>
      <c r="AC129" s="47"/>
      <c r="AD129" s="58">
        <v>3.19</v>
      </c>
      <c r="AE129" s="58">
        <v>0</v>
      </c>
      <c r="AF129" s="47"/>
      <c r="AG129" s="9">
        <v>1</v>
      </c>
      <c r="AH129" s="10">
        <v>3</v>
      </c>
      <c r="AI129" s="11">
        <v>3</v>
      </c>
      <c r="AJ129" s="10">
        <v>0</v>
      </c>
      <c r="AK129" s="10">
        <v>0</v>
      </c>
      <c r="AL129" s="15"/>
      <c r="AM129" s="15"/>
      <c r="AN129" s="15"/>
      <c r="AO129" s="15"/>
      <c r="AP129" s="46" t="s">
        <v>45</v>
      </c>
      <c r="AQ129" s="46" t="s">
        <v>45</v>
      </c>
      <c r="AR129" s="47"/>
      <c r="AS129" s="46" t="s">
        <v>45</v>
      </c>
      <c r="AT129" s="46" t="s">
        <v>45</v>
      </c>
      <c r="AU129" s="140"/>
    </row>
    <row r="130" spans="1:47" s="76" customFormat="1" ht="16.5" customHeight="1" x14ac:dyDescent="0.3">
      <c r="A130" s="200"/>
      <c r="B130" s="99" t="s">
        <v>58</v>
      </c>
      <c r="C130" s="78">
        <v>1</v>
      </c>
      <c r="D130" s="79">
        <v>5</v>
      </c>
      <c r="E130" s="80">
        <v>5</v>
      </c>
      <c r="F130" s="79">
        <v>1</v>
      </c>
      <c r="G130" s="79">
        <v>0</v>
      </c>
      <c r="H130" s="87"/>
      <c r="I130" s="88"/>
      <c r="J130" s="89"/>
      <c r="K130" s="88"/>
      <c r="L130" s="80">
        <v>99.146000000000001</v>
      </c>
      <c r="M130" s="81">
        <v>0</v>
      </c>
      <c r="N130" s="84"/>
      <c r="O130" s="80">
        <v>1.43</v>
      </c>
      <c r="P130" s="86">
        <v>0</v>
      </c>
      <c r="Q130" s="85"/>
      <c r="R130" s="93"/>
      <c r="S130" s="94"/>
      <c r="T130" s="95"/>
      <c r="U130" s="94"/>
      <c r="V130" s="94"/>
      <c r="W130" s="94"/>
      <c r="X130" s="94"/>
      <c r="Y130" s="94"/>
      <c r="Z130" s="94"/>
      <c r="AA130" s="95"/>
      <c r="AB130" s="94"/>
      <c r="AC130" s="96"/>
      <c r="AD130" s="95"/>
      <c r="AE130" s="94"/>
      <c r="AF130" s="96"/>
      <c r="AG130" s="93"/>
      <c r="AH130" s="94"/>
      <c r="AI130" s="95"/>
      <c r="AJ130" s="94"/>
      <c r="AK130" s="94"/>
      <c r="AL130" s="94"/>
      <c r="AM130" s="94"/>
      <c r="AN130" s="94"/>
      <c r="AO130" s="94"/>
      <c r="AP130" s="95"/>
      <c r="AQ130" s="94"/>
      <c r="AR130" s="96"/>
      <c r="AS130" s="95"/>
      <c r="AT130" s="94"/>
      <c r="AU130" s="98"/>
    </row>
    <row r="131" spans="1:47" x14ac:dyDescent="0.3">
      <c r="A131" s="200"/>
      <c r="B131" s="100" t="s">
        <v>36</v>
      </c>
      <c r="C131" s="14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41"/>
      <c r="R131" s="14"/>
      <c r="S131" s="15"/>
      <c r="T131" s="16"/>
      <c r="U131" s="15"/>
      <c r="V131" s="15"/>
      <c r="W131" s="15"/>
      <c r="X131" s="15"/>
      <c r="Y131" s="15"/>
      <c r="Z131" s="15"/>
      <c r="AA131" s="62"/>
      <c r="AB131" s="62"/>
      <c r="AC131" s="47"/>
      <c r="AD131" s="62"/>
      <c r="AE131" s="62"/>
      <c r="AF131" s="47"/>
      <c r="AG131" s="9">
        <v>1</v>
      </c>
      <c r="AH131" s="10">
        <v>5</v>
      </c>
      <c r="AI131" s="11">
        <v>5</v>
      </c>
      <c r="AJ131" s="10">
        <v>0</v>
      </c>
      <c r="AK131" s="10">
        <v>2</v>
      </c>
      <c r="AL131" s="15"/>
      <c r="AM131" s="15"/>
      <c r="AN131" s="15"/>
      <c r="AO131" s="15"/>
      <c r="AP131" s="46" t="s">
        <v>45</v>
      </c>
      <c r="AQ131" s="46" t="s">
        <v>45</v>
      </c>
      <c r="AR131" s="47"/>
      <c r="AS131" s="46" t="s">
        <v>45</v>
      </c>
      <c r="AT131" s="46" t="s">
        <v>45</v>
      </c>
      <c r="AU131" s="140"/>
    </row>
    <row r="132" spans="1:47" x14ac:dyDescent="0.3">
      <c r="A132" s="200"/>
      <c r="B132" s="100" t="s">
        <v>15</v>
      </c>
      <c r="C132" s="14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41"/>
      <c r="R132" s="9">
        <v>1</v>
      </c>
      <c r="S132" s="10">
        <v>11</v>
      </c>
      <c r="T132" s="11">
        <v>11</v>
      </c>
      <c r="U132" s="10">
        <v>1</v>
      </c>
      <c r="V132" s="22">
        <v>0</v>
      </c>
      <c r="W132" s="15"/>
      <c r="X132" s="15"/>
      <c r="Y132" s="15"/>
      <c r="Z132" s="15"/>
      <c r="AA132" s="50">
        <v>98.516999999999996</v>
      </c>
      <c r="AB132" s="50">
        <v>0</v>
      </c>
      <c r="AC132" s="15"/>
      <c r="AD132" s="50">
        <v>1.74</v>
      </c>
      <c r="AE132" s="50">
        <v>0</v>
      </c>
      <c r="AF132" s="15"/>
      <c r="AG132" s="9">
        <v>1</v>
      </c>
      <c r="AH132" s="10">
        <v>7</v>
      </c>
      <c r="AI132" s="11">
        <v>7</v>
      </c>
      <c r="AJ132" s="10">
        <v>1</v>
      </c>
      <c r="AK132" s="10">
        <v>5</v>
      </c>
      <c r="AL132" s="15"/>
      <c r="AM132" s="15"/>
      <c r="AN132" s="15"/>
      <c r="AO132" s="15"/>
      <c r="AP132" s="11">
        <v>95.941999999999993</v>
      </c>
      <c r="AQ132" s="11">
        <v>0</v>
      </c>
      <c r="AR132" s="15"/>
      <c r="AS132" s="11">
        <v>3.03</v>
      </c>
      <c r="AT132" s="11">
        <v>0</v>
      </c>
      <c r="AU132" s="41"/>
    </row>
    <row r="133" spans="1:47" s="76" customFormat="1" ht="16.5" customHeight="1" x14ac:dyDescent="0.3">
      <c r="A133" s="200"/>
      <c r="B133" s="99" t="s">
        <v>59</v>
      </c>
      <c r="C133" s="78">
        <v>1</v>
      </c>
      <c r="D133" s="79">
        <v>27</v>
      </c>
      <c r="E133" s="80">
        <v>27</v>
      </c>
      <c r="F133" s="79">
        <v>0</v>
      </c>
      <c r="G133" s="79">
        <v>0</v>
      </c>
      <c r="H133" s="87"/>
      <c r="I133" s="88"/>
      <c r="J133" s="89"/>
      <c r="K133" s="88"/>
      <c r="L133" s="92" t="s">
        <v>74</v>
      </c>
      <c r="M133" s="92" t="s">
        <v>74</v>
      </c>
      <c r="N133" s="84"/>
      <c r="O133" s="92" t="s">
        <v>74</v>
      </c>
      <c r="P133" s="92" t="s">
        <v>74</v>
      </c>
      <c r="Q133" s="85"/>
      <c r="R133" s="9">
        <v>1</v>
      </c>
      <c r="S133" s="10">
        <v>15</v>
      </c>
      <c r="T133" s="11">
        <v>15</v>
      </c>
      <c r="U133" s="10">
        <v>1</v>
      </c>
      <c r="V133" s="22">
        <v>2</v>
      </c>
      <c r="W133" s="15"/>
      <c r="X133" s="15"/>
      <c r="Y133" s="15"/>
      <c r="Z133" s="15"/>
      <c r="AA133" s="58">
        <v>97.358000000000004</v>
      </c>
      <c r="AB133" s="58">
        <v>0</v>
      </c>
      <c r="AC133" s="15"/>
      <c r="AD133" s="58">
        <v>2.3199999999999998</v>
      </c>
      <c r="AE133" s="58">
        <v>0</v>
      </c>
      <c r="AF133" s="15"/>
      <c r="AG133" s="9">
        <v>1</v>
      </c>
      <c r="AH133" s="10">
        <v>19</v>
      </c>
      <c r="AI133" s="11">
        <v>19</v>
      </c>
      <c r="AJ133" s="10">
        <v>0</v>
      </c>
      <c r="AK133" s="10">
        <v>11</v>
      </c>
      <c r="AL133" s="15"/>
      <c r="AM133" s="15"/>
      <c r="AN133" s="15"/>
      <c r="AO133" s="15"/>
      <c r="AP133" s="46" t="s">
        <v>45</v>
      </c>
      <c r="AQ133" s="46" t="s">
        <v>45</v>
      </c>
      <c r="AR133" s="15"/>
      <c r="AS133" s="46" t="s">
        <v>45</v>
      </c>
      <c r="AT133" s="46" t="s">
        <v>45</v>
      </c>
      <c r="AU133" s="41"/>
    </row>
    <row r="134" spans="1:47" s="76" customFormat="1" ht="16.5" customHeight="1" x14ac:dyDescent="0.3">
      <c r="A134" s="200"/>
      <c r="B134" s="99" t="s">
        <v>60</v>
      </c>
      <c r="C134" s="78">
        <v>2</v>
      </c>
      <c r="D134" s="79">
        <v>16</v>
      </c>
      <c r="E134" s="80">
        <v>8</v>
      </c>
      <c r="F134" s="79">
        <v>2</v>
      </c>
      <c r="G134" s="79">
        <v>4</v>
      </c>
      <c r="H134" s="87"/>
      <c r="I134" s="88"/>
      <c r="J134" s="89"/>
      <c r="K134" s="88"/>
      <c r="L134" s="80">
        <v>96.592500000000001</v>
      </c>
      <c r="M134" s="81">
        <v>0.26750000000162111</v>
      </c>
      <c r="N134" s="84"/>
      <c r="O134" s="80">
        <v>2.7050000000000001</v>
      </c>
      <c r="P134" s="86">
        <v>0.13499999999999729</v>
      </c>
      <c r="Q134" s="85"/>
      <c r="R134" s="93"/>
      <c r="S134" s="94"/>
      <c r="T134" s="95"/>
      <c r="U134" s="94"/>
      <c r="V134" s="94"/>
      <c r="W134" s="94"/>
      <c r="X134" s="94"/>
      <c r="Y134" s="94"/>
      <c r="Z134" s="94"/>
      <c r="AA134" s="95"/>
      <c r="AB134" s="94"/>
      <c r="AC134" s="96"/>
      <c r="AD134" s="95"/>
      <c r="AE134" s="94"/>
      <c r="AF134" s="96"/>
      <c r="AG134" s="93"/>
      <c r="AH134" s="94"/>
      <c r="AI134" s="95"/>
      <c r="AJ134" s="94"/>
      <c r="AK134" s="94"/>
      <c r="AL134" s="94"/>
      <c r="AM134" s="94"/>
      <c r="AN134" s="94"/>
      <c r="AO134" s="94"/>
      <c r="AP134" s="95"/>
      <c r="AQ134" s="94"/>
      <c r="AR134" s="96"/>
      <c r="AS134" s="95"/>
      <c r="AT134" s="94"/>
      <c r="AU134" s="98"/>
    </row>
    <row r="135" spans="1:47" x14ac:dyDescent="0.3">
      <c r="A135" s="200"/>
      <c r="B135" s="100" t="s">
        <v>17</v>
      </c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41"/>
      <c r="R135" s="9">
        <v>1</v>
      </c>
      <c r="S135" s="10">
        <v>7</v>
      </c>
      <c r="T135" s="11">
        <v>7</v>
      </c>
      <c r="U135" s="10">
        <v>1</v>
      </c>
      <c r="V135" s="22">
        <v>0</v>
      </c>
      <c r="W135" s="15"/>
      <c r="X135" s="15"/>
      <c r="Y135" s="15"/>
      <c r="Z135" s="15"/>
      <c r="AA135" s="50">
        <v>97.700999999999993</v>
      </c>
      <c r="AB135" s="50">
        <v>0</v>
      </c>
      <c r="AC135" s="15"/>
      <c r="AD135" s="50">
        <v>2.15</v>
      </c>
      <c r="AE135" s="50">
        <v>0</v>
      </c>
      <c r="AF135" s="15"/>
      <c r="AG135" s="9">
        <v>1</v>
      </c>
      <c r="AH135" s="10">
        <v>12</v>
      </c>
      <c r="AI135" s="11">
        <v>12</v>
      </c>
      <c r="AJ135" s="10">
        <v>1</v>
      </c>
      <c r="AK135" s="10">
        <v>1</v>
      </c>
      <c r="AL135" s="15"/>
      <c r="AM135" s="15"/>
      <c r="AN135" s="15"/>
      <c r="AO135" s="15"/>
      <c r="AP135" s="11">
        <v>98.730999999999995</v>
      </c>
      <c r="AQ135" s="11">
        <v>0</v>
      </c>
      <c r="AR135" s="15"/>
      <c r="AS135" s="11">
        <v>1.63</v>
      </c>
      <c r="AT135" s="11">
        <v>0</v>
      </c>
      <c r="AU135" s="41"/>
    </row>
    <row r="136" spans="1:47" x14ac:dyDescent="0.3">
      <c r="A136" s="200"/>
      <c r="B136" s="100" t="s">
        <v>18</v>
      </c>
      <c r="C136" s="14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41"/>
      <c r="R136" s="9">
        <v>1</v>
      </c>
      <c r="S136" s="10">
        <v>8</v>
      </c>
      <c r="T136" s="11">
        <v>8</v>
      </c>
      <c r="U136" s="10">
        <v>1</v>
      </c>
      <c r="V136" s="22">
        <v>2</v>
      </c>
      <c r="W136" s="15"/>
      <c r="X136" s="15"/>
      <c r="Y136" s="15"/>
      <c r="Z136" s="15"/>
      <c r="AA136" s="50">
        <v>97.783000000000001</v>
      </c>
      <c r="AB136" s="50">
        <v>0</v>
      </c>
      <c r="AC136" s="15"/>
      <c r="AD136" s="50">
        <v>2.11</v>
      </c>
      <c r="AE136" s="50">
        <v>0</v>
      </c>
      <c r="AF136" s="15"/>
      <c r="AG136" s="9">
        <v>1</v>
      </c>
      <c r="AH136" s="10">
        <v>15</v>
      </c>
      <c r="AI136" s="11">
        <v>15</v>
      </c>
      <c r="AJ136" s="10">
        <v>1</v>
      </c>
      <c r="AK136" s="10">
        <v>0</v>
      </c>
      <c r="AL136" s="15"/>
      <c r="AM136" s="15"/>
      <c r="AN136" s="15"/>
      <c r="AO136" s="15"/>
      <c r="AP136" s="11">
        <v>98.367000000000004</v>
      </c>
      <c r="AQ136" s="11">
        <v>0</v>
      </c>
      <c r="AR136" s="15"/>
      <c r="AS136" s="11">
        <v>1.82</v>
      </c>
      <c r="AT136" s="11">
        <v>0</v>
      </c>
      <c r="AU136" s="41"/>
    </row>
    <row r="137" spans="1:47" s="76" customFormat="1" ht="16.5" customHeight="1" x14ac:dyDescent="0.3">
      <c r="A137" s="200"/>
      <c r="B137" s="99" t="s">
        <v>61</v>
      </c>
      <c r="C137" s="78">
        <v>1</v>
      </c>
      <c r="D137" s="79">
        <v>4</v>
      </c>
      <c r="E137" s="80">
        <v>4</v>
      </c>
      <c r="F137" s="79">
        <v>1</v>
      </c>
      <c r="G137" s="79">
        <v>1</v>
      </c>
      <c r="H137" s="87"/>
      <c r="I137" s="88"/>
      <c r="J137" s="89"/>
      <c r="K137" s="88"/>
      <c r="L137" s="80">
        <v>95.549000000000007</v>
      </c>
      <c r="M137" s="81">
        <v>0</v>
      </c>
      <c r="N137" s="84"/>
      <c r="O137" s="80">
        <v>3.23</v>
      </c>
      <c r="P137" s="86">
        <v>0</v>
      </c>
      <c r="Q137" s="85"/>
      <c r="R137" s="9">
        <v>1</v>
      </c>
      <c r="S137" s="10">
        <v>3</v>
      </c>
      <c r="T137" s="11">
        <v>3</v>
      </c>
      <c r="U137" s="10">
        <v>1</v>
      </c>
      <c r="V137" s="22">
        <v>2</v>
      </c>
      <c r="W137" s="15"/>
      <c r="X137" s="15"/>
      <c r="Y137" s="15"/>
      <c r="Z137" s="15"/>
      <c r="AA137" s="50">
        <v>80.709000000000003</v>
      </c>
      <c r="AB137" s="50">
        <v>0</v>
      </c>
      <c r="AC137" s="15"/>
      <c r="AD137" s="50">
        <v>5.52</v>
      </c>
      <c r="AE137" s="50">
        <v>0</v>
      </c>
      <c r="AF137" s="15"/>
      <c r="AG137" s="9">
        <v>1</v>
      </c>
      <c r="AH137" s="10">
        <v>5</v>
      </c>
      <c r="AI137" s="11">
        <v>5</v>
      </c>
      <c r="AJ137" s="10">
        <v>1</v>
      </c>
      <c r="AK137" s="10">
        <v>0</v>
      </c>
      <c r="AL137" s="15"/>
      <c r="AM137" s="15"/>
      <c r="AN137" s="15"/>
      <c r="AO137" s="15"/>
      <c r="AP137" s="11">
        <v>98.942999999999998</v>
      </c>
      <c r="AQ137" s="11">
        <v>0</v>
      </c>
      <c r="AR137" s="15"/>
      <c r="AS137" s="11">
        <v>1.53</v>
      </c>
      <c r="AT137" s="11">
        <v>0</v>
      </c>
      <c r="AU137" s="41"/>
    </row>
    <row r="138" spans="1:47" s="76" customFormat="1" ht="16.5" customHeight="1" x14ac:dyDescent="0.3">
      <c r="A138" s="200"/>
      <c r="B138" s="99" t="s">
        <v>62</v>
      </c>
      <c r="C138" s="78">
        <v>2</v>
      </c>
      <c r="D138" s="79">
        <v>11</v>
      </c>
      <c r="E138" s="80">
        <v>5.5</v>
      </c>
      <c r="F138" s="79">
        <v>1</v>
      </c>
      <c r="G138" s="79">
        <v>2</v>
      </c>
      <c r="H138" s="87"/>
      <c r="I138" s="88"/>
      <c r="J138" s="89"/>
      <c r="K138" s="88"/>
      <c r="L138" s="80">
        <v>96.852000000000004</v>
      </c>
      <c r="M138" s="81">
        <v>0</v>
      </c>
      <c r="N138" s="84"/>
      <c r="O138" s="80">
        <v>2.57</v>
      </c>
      <c r="P138" s="86">
        <v>0</v>
      </c>
      <c r="Q138" s="85"/>
      <c r="R138" s="93"/>
      <c r="S138" s="94"/>
      <c r="T138" s="95"/>
      <c r="U138" s="94"/>
      <c r="V138" s="94"/>
      <c r="W138" s="94"/>
      <c r="X138" s="94"/>
      <c r="Y138" s="94"/>
      <c r="Z138" s="94"/>
      <c r="AA138" s="95"/>
      <c r="AB138" s="94"/>
      <c r="AC138" s="96"/>
      <c r="AD138" s="95"/>
      <c r="AE138" s="94"/>
      <c r="AF138" s="96"/>
      <c r="AG138" s="93"/>
      <c r="AH138" s="94"/>
      <c r="AI138" s="95"/>
      <c r="AJ138" s="94"/>
      <c r="AK138" s="94"/>
      <c r="AL138" s="94"/>
      <c r="AM138" s="94"/>
      <c r="AN138" s="94"/>
      <c r="AO138" s="94"/>
      <c r="AP138" s="95"/>
      <c r="AQ138" s="94"/>
      <c r="AR138" s="96"/>
      <c r="AS138" s="95"/>
      <c r="AT138" s="94"/>
      <c r="AU138" s="98"/>
    </row>
    <row r="139" spans="1:47" x14ac:dyDescent="0.3">
      <c r="A139" s="200"/>
      <c r="B139" s="100" t="s">
        <v>38</v>
      </c>
      <c r="C139" s="14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41"/>
      <c r="R139" s="57">
        <v>1</v>
      </c>
      <c r="S139" s="25">
        <v>4</v>
      </c>
      <c r="T139" s="26">
        <v>4</v>
      </c>
      <c r="U139" s="25">
        <v>1</v>
      </c>
      <c r="V139" s="22">
        <v>2</v>
      </c>
      <c r="W139" s="15"/>
      <c r="X139" s="15"/>
      <c r="Y139" s="15"/>
      <c r="Z139" s="15"/>
      <c r="AA139" s="63">
        <v>93.906999999999996</v>
      </c>
      <c r="AB139" s="63">
        <v>0</v>
      </c>
      <c r="AC139" s="15"/>
      <c r="AD139" s="63">
        <v>4.05</v>
      </c>
      <c r="AE139" s="63">
        <v>0</v>
      </c>
      <c r="AF139" s="15"/>
      <c r="AG139" s="14"/>
      <c r="AH139" s="15"/>
      <c r="AI139" s="16"/>
      <c r="AJ139" s="15"/>
      <c r="AK139" s="15"/>
      <c r="AL139" s="15"/>
      <c r="AM139" s="15"/>
      <c r="AN139" s="15"/>
      <c r="AO139" s="15"/>
      <c r="AP139" s="16"/>
      <c r="AQ139" s="16"/>
      <c r="AR139" s="15"/>
      <c r="AS139" s="16"/>
      <c r="AT139" s="16"/>
      <c r="AU139" s="41"/>
    </row>
    <row r="140" spans="1:47" x14ac:dyDescent="0.3">
      <c r="A140" s="200"/>
      <c r="B140" s="100" t="s">
        <v>40</v>
      </c>
      <c r="C140" s="14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41"/>
      <c r="R140" s="14"/>
      <c r="S140" s="15"/>
      <c r="T140" s="16"/>
      <c r="U140" s="15"/>
      <c r="V140" s="15"/>
      <c r="W140" s="15"/>
      <c r="X140" s="15"/>
      <c r="Y140" s="15"/>
      <c r="Z140" s="15"/>
      <c r="AA140" s="53"/>
      <c r="AB140" s="53"/>
      <c r="AC140" s="15"/>
      <c r="AD140" s="53"/>
      <c r="AE140" s="53"/>
      <c r="AF140" s="15"/>
      <c r="AG140" s="14"/>
      <c r="AH140" s="15"/>
      <c r="AI140" s="16"/>
      <c r="AJ140" s="15"/>
      <c r="AK140" s="15"/>
      <c r="AL140" s="15"/>
      <c r="AM140" s="15"/>
      <c r="AN140" s="15"/>
      <c r="AO140" s="15"/>
      <c r="AP140" s="16"/>
      <c r="AQ140" s="16"/>
      <c r="AR140" s="15"/>
      <c r="AS140" s="16"/>
      <c r="AT140" s="16"/>
      <c r="AU140" s="41"/>
    </row>
    <row r="141" spans="1:47" x14ac:dyDescent="0.3">
      <c r="A141" s="200"/>
      <c r="B141" s="100" t="s">
        <v>20</v>
      </c>
      <c r="C141" s="14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41"/>
      <c r="R141" s="9">
        <v>1</v>
      </c>
      <c r="S141" s="10">
        <v>2</v>
      </c>
      <c r="T141" s="11">
        <v>2</v>
      </c>
      <c r="U141" s="10">
        <v>0</v>
      </c>
      <c r="V141" s="22">
        <v>1</v>
      </c>
      <c r="W141" s="15"/>
      <c r="X141" s="15"/>
      <c r="Y141" s="15"/>
      <c r="Z141" s="15"/>
      <c r="AA141" s="60" t="s">
        <v>49</v>
      </c>
      <c r="AB141" s="60" t="s">
        <v>49</v>
      </c>
      <c r="AC141" s="47"/>
      <c r="AD141" s="60" t="s">
        <v>49</v>
      </c>
      <c r="AE141" s="60" t="s">
        <v>49</v>
      </c>
      <c r="AF141" s="47"/>
      <c r="AG141" s="9">
        <v>1</v>
      </c>
      <c r="AH141" s="10">
        <v>3</v>
      </c>
      <c r="AI141" s="11">
        <v>3</v>
      </c>
      <c r="AJ141" s="10">
        <v>0</v>
      </c>
      <c r="AK141" s="10">
        <v>2</v>
      </c>
      <c r="AL141" s="15"/>
      <c r="AM141" s="15"/>
      <c r="AN141" s="15"/>
      <c r="AO141" s="15"/>
      <c r="AP141" s="46" t="s">
        <v>45</v>
      </c>
      <c r="AQ141" s="46" t="s">
        <v>45</v>
      </c>
      <c r="AR141" s="47"/>
      <c r="AS141" s="46" t="s">
        <v>45</v>
      </c>
      <c r="AT141" s="46" t="s">
        <v>45</v>
      </c>
      <c r="AU141" s="140"/>
    </row>
    <row r="142" spans="1:47" s="76" customFormat="1" ht="16.5" customHeight="1" x14ac:dyDescent="0.3">
      <c r="A142" s="200"/>
      <c r="B142" s="99" t="s">
        <v>63</v>
      </c>
      <c r="C142" s="78">
        <v>1</v>
      </c>
      <c r="D142" s="79">
        <v>7</v>
      </c>
      <c r="E142" s="80">
        <v>7</v>
      </c>
      <c r="F142" s="79">
        <v>1</v>
      </c>
      <c r="G142" s="79">
        <v>1</v>
      </c>
      <c r="H142" s="87"/>
      <c r="I142" s="88"/>
      <c r="J142" s="89"/>
      <c r="K142" s="88"/>
      <c r="L142" s="80">
        <v>96.709000000000003</v>
      </c>
      <c r="M142" s="81">
        <v>0</v>
      </c>
      <c r="N142" s="84"/>
      <c r="O142" s="80">
        <v>2.65</v>
      </c>
      <c r="P142" s="86">
        <v>0</v>
      </c>
      <c r="Q142" s="85"/>
      <c r="R142" s="9">
        <v>1</v>
      </c>
      <c r="S142" s="10">
        <v>3</v>
      </c>
      <c r="T142" s="11">
        <v>3</v>
      </c>
      <c r="U142" s="10">
        <v>1</v>
      </c>
      <c r="V142" s="22">
        <v>1</v>
      </c>
      <c r="W142" s="15"/>
      <c r="X142" s="15"/>
      <c r="Y142" s="15"/>
      <c r="Z142" s="15"/>
      <c r="AA142" s="50">
        <v>95.603999999999999</v>
      </c>
      <c r="AB142" s="50">
        <v>0</v>
      </c>
      <c r="AC142" s="15"/>
      <c r="AD142" s="50">
        <v>3.2</v>
      </c>
      <c r="AE142" s="50">
        <v>0</v>
      </c>
      <c r="AF142" s="15"/>
      <c r="AG142" s="9">
        <v>1</v>
      </c>
      <c r="AH142" s="10">
        <v>3</v>
      </c>
      <c r="AI142" s="11">
        <v>3</v>
      </c>
      <c r="AJ142" s="10">
        <v>1</v>
      </c>
      <c r="AK142" s="10">
        <v>1</v>
      </c>
      <c r="AL142" s="15"/>
      <c r="AM142" s="15"/>
      <c r="AN142" s="15"/>
      <c r="AO142" s="15"/>
      <c r="AP142" s="11">
        <v>96.603999999999999</v>
      </c>
      <c r="AQ142" s="11">
        <v>0</v>
      </c>
      <c r="AR142" s="15"/>
      <c r="AS142" s="11">
        <v>2.7</v>
      </c>
      <c r="AT142" s="11">
        <v>0</v>
      </c>
      <c r="AU142" s="41"/>
    </row>
    <row r="143" spans="1:47" s="76" customFormat="1" ht="16.5" customHeight="1" x14ac:dyDescent="0.3">
      <c r="A143" s="200"/>
      <c r="B143" s="99" t="s">
        <v>64</v>
      </c>
      <c r="C143" s="78">
        <v>1</v>
      </c>
      <c r="D143" s="79">
        <v>5</v>
      </c>
      <c r="E143" s="80">
        <v>5</v>
      </c>
      <c r="F143" s="79">
        <v>1</v>
      </c>
      <c r="G143" s="79">
        <v>4</v>
      </c>
      <c r="H143" s="87"/>
      <c r="I143" s="88"/>
      <c r="J143" s="89"/>
      <c r="K143" s="88"/>
      <c r="L143" s="80">
        <v>90.554000000000002</v>
      </c>
      <c r="M143" s="81">
        <v>0</v>
      </c>
      <c r="N143" s="84"/>
      <c r="O143" s="80">
        <v>4.74</v>
      </c>
      <c r="P143" s="86">
        <v>0</v>
      </c>
      <c r="Q143" s="85"/>
      <c r="R143" s="9">
        <v>1</v>
      </c>
      <c r="S143" s="10">
        <v>1</v>
      </c>
      <c r="T143" s="11">
        <v>1</v>
      </c>
      <c r="U143" s="10">
        <v>1</v>
      </c>
      <c r="V143" s="45" t="s">
        <v>51</v>
      </c>
      <c r="W143" s="15"/>
      <c r="X143" s="15"/>
      <c r="Y143" s="15"/>
      <c r="Z143" s="15"/>
      <c r="AA143" s="50">
        <v>97.778999999999996</v>
      </c>
      <c r="AB143" s="50">
        <v>0</v>
      </c>
      <c r="AC143" s="15"/>
      <c r="AD143" s="50">
        <v>2.11</v>
      </c>
      <c r="AE143" s="50">
        <v>0</v>
      </c>
      <c r="AF143" s="15"/>
      <c r="AG143" s="9">
        <v>1</v>
      </c>
      <c r="AH143" s="10">
        <v>7</v>
      </c>
      <c r="AI143" s="11">
        <v>7</v>
      </c>
      <c r="AJ143" s="10">
        <v>1</v>
      </c>
      <c r="AK143" s="10">
        <v>0</v>
      </c>
      <c r="AL143" s="15"/>
      <c r="AM143" s="15"/>
      <c r="AN143" s="15"/>
      <c r="AO143" s="15"/>
      <c r="AP143" s="11">
        <v>98.805999999999997</v>
      </c>
      <c r="AQ143" s="11">
        <v>0</v>
      </c>
      <c r="AR143" s="15"/>
      <c r="AS143" s="11">
        <v>1.6</v>
      </c>
      <c r="AT143" s="11">
        <v>0</v>
      </c>
      <c r="AU143" s="41"/>
    </row>
    <row r="144" spans="1:47" s="76" customFormat="1" ht="16.5" customHeight="1" x14ac:dyDescent="0.3">
      <c r="A144" s="200"/>
      <c r="B144" s="99" t="s">
        <v>65</v>
      </c>
      <c r="C144" s="78">
        <v>1</v>
      </c>
      <c r="D144" s="79">
        <v>4</v>
      </c>
      <c r="E144" s="80">
        <v>4</v>
      </c>
      <c r="F144" s="79">
        <v>1</v>
      </c>
      <c r="G144" s="79">
        <v>1</v>
      </c>
      <c r="H144" s="87"/>
      <c r="I144" s="88"/>
      <c r="J144" s="89"/>
      <c r="K144" s="88"/>
      <c r="L144" s="80">
        <v>97.742000000000004</v>
      </c>
      <c r="M144" s="81">
        <v>0</v>
      </c>
      <c r="N144" s="84"/>
      <c r="O144" s="80">
        <v>2.13</v>
      </c>
      <c r="P144" s="86">
        <v>0</v>
      </c>
      <c r="Q144" s="85"/>
      <c r="R144" s="9">
        <v>1</v>
      </c>
      <c r="S144" s="10">
        <v>8</v>
      </c>
      <c r="T144" s="11">
        <v>8</v>
      </c>
      <c r="U144" s="10">
        <v>1</v>
      </c>
      <c r="V144" s="22">
        <v>0</v>
      </c>
      <c r="W144" s="15"/>
      <c r="X144" s="15"/>
      <c r="Y144" s="15"/>
      <c r="Z144" s="15"/>
      <c r="AA144" s="50">
        <v>98.843999999999994</v>
      </c>
      <c r="AB144" s="50">
        <v>0</v>
      </c>
      <c r="AC144" s="15"/>
      <c r="AD144" s="50">
        <v>1.58</v>
      </c>
      <c r="AE144" s="50">
        <v>0</v>
      </c>
      <c r="AF144" s="15"/>
      <c r="AG144" s="9">
        <v>1</v>
      </c>
      <c r="AH144" s="10">
        <v>8</v>
      </c>
      <c r="AI144" s="11">
        <v>8</v>
      </c>
      <c r="AJ144" s="10">
        <v>1</v>
      </c>
      <c r="AK144" s="10">
        <v>0</v>
      </c>
      <c r="AL144" s="15"/>
      <c r="AM144" s="15"/>
      <c r="AN144" s="15"/>
      <c r="AO144" s="15"/>
      <c r="AP144" s="11">
        <v>99.688999999999993</v>
      </c>
      <c r="AQ144" s="11">
        <v>0</v>
      </c>
      <c r="AR144" s="15"/>
      <c r="AS144" s="11">
        <v>1.1599999999999999</v>
      </c>
      <c r="AT144" s="11">
        <v>0</v>
      </c>
      <c r="AU144" s="41"/>
    </row>
    <row r="145" spans="1:47" s="76" customFormat="1" ht="16.5" customHeight="1" thickBot="1" x14ac:dyDescent="0.35">
      <c r="A145" s="202"/>
      <c r="B145" s="121" t="s">
        <v>67</v>
      </c>
      <c r="C145" s="139">
        <v>18</v>
      </c>
      <c r="D145" s="122">
        <v>139</v>
      </c>
      <c r="E145" s="123">
        <v>7.7222222222222223</v>
      </c>
      <c r="F145" s="122">
        <v>15</v>
      </c>
      <c r="G145" s="122">
        <v>23</v>
      </c>
      <c r="H145" s="124"/>
      <c r="I145" s="125"/>
      <c r="J145" s="126"/>
      <c r="K145" s="125"/>
      <c r="L145" s="123">
        <v>96.629666666666694</v>
      </c>
      <c r="M145" s="127">
        <v>2.0011390978350363</v>
      </c>
      <c r="N145" s="128"/>
      <c r="O145" s="123">
        <v>2.6206666666666667</v>
      </c>
      <c r="P145" s="129">
        <v>0.81397351854276423</v>
      </c>
      <c r="Q145" s="130"/>
      <c r="R145" s="34">
        <v>18</v>
      </c>
      <c r="S145" s="31">
        <v>131</v>
      </c>
      <c r="T145" s="30">
        <v>7.2777777777777777</v>
      </c>
      <c r="U145" s="31">
        <v>17</v>
      </c>
      <c r="V145" s="31">
        <v>23</v>
      </c>
      <c r="W145" s="27"/>
      <c r="X145" s="27"/>
      <c r="Y145" s="27"/>
      <c r="Z145" s="27"/>
      <c r="AA145" s="54">
        <v>96.165823529411782</v>
      </c>
      <c r="AB145" s="54">
        <v>4.3666130936955607</v>
      </c>
      <c r="AC145" s="27"/>
      <c r="AD145" s="54">
        <v>2.5670588235294112</v>
      </c>
      <c r="AE145" s="54">
        <v>1.1556905992720001</v>
      </c>
      <c r="AF145" s="27"/>
      <c r="AG145" s="34">
        <v>18</v>
      </c>
      <c r="AH145" s="31">
        <v>157</v>
      </c>
      <c r="AI145" s="30">
        <v>8.7222222222222214</v>
      </c>
      <c r="AJ145" s="31">
        <v>14</v>
      </c>
      <c r="AK145" s="31">
        <v>36</v>
      </c>
      <c r="AL145" s="27"/>
      <c r="AM145" s="27"/>
      <c r="AN145" s="27"/>
      <c r="AO145" s="27"/>
      <c r="AP145" s="30">
        <v>97.964214285714291</v>
      </c>
      <c r="AQ145" s="30">
        <v>1.5550186576078202</v>
      </c>
      <c r="AR145" s="27"/>
      <c r="AS145" s="30">
        <v>2.0192857142857146</v>
      </c>
      <c r="AT145" s="30">
        <v>0.77797782088946343</v>
      </c>
      <c r="AU145" s="42"/>
    </row>
  </sheetData>
  <mergeCells count="23">
    <mergeCell ref="A61:A88"/>
    <mergeCell ref="A89:A117"/>
    <mergeCell ref="A118:A145"/>
    <mergeCell ref="A1:AU1"/>
    <mergeCell ref="A4:A6"/>
    <mergeCell ref="B4:B6"/>
    <mergeCell ref="R4:AF4"/>
    <mergeCell ref="R5:V5"/>
    <mergeCell ref="W5:Z5"/>
    <mergeCell ref="AA5:AC5"/>
    <mergeCell ref="AD5:AF5"/>
    <mergeCell ref="C4:Q4"/>
    <mergeCell ref="AG4:AU4"/>
    <mergeCell ref="AG5:AK5"/>
    <mergeCell ref="AP5:AR5"/>
    <mergeCell ref="AS5:AU5"/>
    <mergeCell ref="A7:A35"/>
    <mergeCell ref="A36:A60"/>
    <mergeCell ref="AL5:AO5"/>
    <mergeCell ref="C5:G5"/>
    <mergeCell ref="H5:K5"/>
    <mergeCell ref="L5:N5"/>
    <mergeCell ref="O5:Q5"/>
  </mergeCells>
  <phoneticPr fontId="2" type="noConversion"/>
  <printOptions horizontalCentered="1"/>
  <pageMargins left="0.15748031496062992" right="0.15748031496062992" top="0.74803149606299213" bottom="0.56999999999999995" header="0.31496062992125984" footer="0.16"/>
  <pageSetup paperSize="8"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3"/>
  <sheetViews>
    <sheetView zoomScale="85" zoomScaleNormal="85" workbookViewId="0">
      <pane xSplit="2" ySplit="5" topLeftCell="C12" activePane="bottomRight" state="frozen"/>
      <selection pane="topRight" activeCell="C1" sqref="C1"/>
      <selection pane="bottomLeft" activeCell="A6" sqref="A6"/>
      <selection pane="bottomRight" sqref="A1:Z1"/>
    </sheetView>
  </sheetViews>
  <sheetFormatPr defaultRowHeight="16.5" x14ac:dyDescent="0.3"/>
  <cols>
    <col min="1" max="1" width="14" customWidth="1"/>
    <col min="2" max="2" width="27.5" customWidth="1"/>
    <col min="3" max="10" width="6.375" customWidth="1"/>
    <col min="11" max="18" width="6.25" customWidth="1"/>
    <col min="19" max="26" width="6.375" customWidth="1"/>
  </cols>
  <sheetData>
    <row r="1" spans="1:41" ht="31.5" x14ac:dyDescent="0.3">
      <c r="A1" s="211" t="s">
        <v>31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ht="17.25" thickBot="1" x14ac:dyDescent="0.35">
      <c r="A2" s="184" t="s">
        <v>83</v>
      </c>
    </row>
    <row r="3" spans="1:41" x14ac:dyDescent="0.3">
      <c r="A3" s="222" t="s">
        <v>11</v>
      </c>
      <c r="B3" s="224" t="s">
        <v>0</v>
      </c>
      <c r="C3" s="217" t="s">
        <v>53</v>
      </c>
      <c r="D3" s="217"/>
      <c r="E3" s="217"/>
      <c r="F3" s="217"/>
      <c r="G3" s="217"/>
      <c r="H3" s="217"/>
      <c r="I3" s="217"/>
      <c r="J3" s="227"/>
      <c r="K3" s="216" t="s">
        <v>47</v>
      </c>
      <c r="L3" s="217"/>
      <c r="M3" s="217"/>
      <c r="N3" s="217"/>
      <c r="O3" s="217"/>
      <c r="P3" s="217"/>
      <c r="Q3" s="217"/>
      <c r="R3" s="218"/>
      <c r="S3" s="226" t="s">
        <v>33</v>
      </c>
      <c r="T3" s="217"/>
      <c r="U3" s="217"/>
      <c r="V3" s="217"/>
      <c r="W3" s="217"/>
      <c r="X3" s="217"/>
      <c r="Y3" s="217"/>
      <c r="Z3" s="218"/>
    </row>
    <row r="4" spans="1:41" ht="30" customHeight="1" x14ac:dyDescent="0.3">
      <c r="A4" s="223"/>
      <c r="B4" s="225"/>
      <c r="C4" s="207" t="s">
        <v>1</v>
      </c>
      <c r="D4" s="207"/>
      <c r="E4" s="207"/>
      <c r="F4" s="207"/>
      <c r="G4" s="207"/>
      <c r="H4" s="208" t="s">
        <v>3</v>
      </c>
      <c r="I4" s="208"/>
      <c r="J4" s="219"/>
      <c r="K4" s="206" t="s">
        <v>1</v>
      </c>
      <c r="L4" s="207"/>
      <c r="M4" s="207"/>
      <c r="N4" s="207"/>
      <c r="O4" s="207"/>
      <c r="P4" s="208" t="s">
        <v>3</v>
      </c>
      <c r="Q4" s="208"/>
      <c r="R4" s="210"/>
      <c r="S4" s="205" t="s">
        <v>1</v>
      </c>
      <c r="T4" s="207"/>
      <c r="U4" s="207"/>
      <c r="V4" s="207"/>
      <c r="W4" s="207"/>
      <c r="X4" s="208" t="s">
        <v>3</v>
      </c>
      <c r="Y4" s="208"/>
      <c r="Z4" s="210"/>
    </row>
    <row r="5" spans="1:41" ht="36" x14ac:dyDescent="0.3">
      <c r="A5" s="223"/>
      <c r="B5" s="225"/>
      <c r="C5" s="1" t="s">
        <v>4</v>
      </c>
      <c r="D5" s="1" t="s">
        <v>5</v>
      </c>
      <c r="E5" s="183" t="s">
        <v>6</v>
      </c>
      <c r="F5" s="1" t="s">
        <v>32</v>
      </c>
      <c r="G5" s="1" t="s">
        <v>7</v>
      </c>
      <c r="H5" s="183" t="s">
        <v>9</v>
      </c>
      <c r="I5" s="1" t="s">
        <v>28</v>
      </c>
      <c r="J5" s="146">
        <v>0.85</v>
      </c>
      <c r="K5" s="3" t="s">
        <v>4</v>
      </c>
      <c r="L5" s="1" t="s">
        <v>5</v>
      </c>
      <c r="M5" s="75" t="s">
        <v>6</v>
      </c>
      <c r="N5" s="1" t="s">
        <v>32</v>
      </c>
      <c r="O5" s="1" t="s">
        <v>7</v>
      </c>
      <c r="P5" s="75" t="s">
        <v>9</v>
      </c>
      <c r="Q5" s="1" t="s">
        <v>28</v>
      </c>
      <c r="R5" s="7">
        <v>0.85</v>
      </c>
      <c r="S5" s="5" t="s">
        <v>4</v>
      </c>
      <c r="T5" s="1" t="s">
        <v>5</v>
      </c>
      <c r="U5" s="75" t="s">
        <v>6</v>
      </c>
      <c r="V5" s="1" t="s">
        <v>32</v>
      </c>
      <c r="W5" s="1" t="s">
        <v>7</v>
      </c>
      <c r="X5" s="75" t="s">
        <v>9</v>
      </c>
      <c r="Y5" s="1" t="s">
        <v>28</v>
      </c>
      <c r="Z5" s="7">
        <v>0.85</v>
      </c>
    </row>
    <row r="6" spans="1:41" x14ac:dyDescent="0.3">
      <c r="A6" s="220" t="s">
        <v>23</v>
      </c>
      <c r="B6" s="150" t="s">
        <v>54</v>
      </c>
      <c r="C6" s="189">
        <v>19</v>
      </c>
      <c r="D6" s="189">
        <v>164</v>
      </c>
      <c r="E6" s="163">
        <v>8.6315789473684212</v>
      </c>
      <c r="F6" s="189">
        <v>19</v>
      </c>
      <c r="G6" s="189">
        <v>22</v>
      </c>
      <c r="H6" s="163">
        <v>4.7147368421052631</v>
      </c>
      <c r="I6" s="190">
        <v>0.53206023027723082</v>
      </c>
      <c r="J6" s="191">
        <v>5.2389999999999999</v>
      </c>
      <c r="K6" s="93"/>
      <c r="L6" s="94"/>
      <c r="M6" s="95"/>
      <c r="N6" s="94"/>
      <c r="O6" s="94"/>
      <c r="P6" s="95"/>
      <c r="Q6" s="94"/>
      <c r="R6" s="98"/>
      <c r="S6" s="97"/>
      <c r="T6" s="94"/>
      <c r="U6" s="95"/>
      <c r="V6" s="94"/>
      <c r="W6" s="94"/>
      <c r="X6" s="95"/>
      <c r="Y6" s="94"/>
      <c r="Z6" s="98"/>
      <c r="AA6" s="198"/>
    </row>
    <row r="7" spans="1:41" x14ac:dyDescent="0.3">
      <c r="A7" s="220"/>
      <c r="B7" s="151" t="s">
        <v>14</v>
      </c>
      <c r="C7" s="52"/>
      <c r="D7" s="52"/>
      <c r="E7" s="53"/>
      <c r="F7" s="52"/>
      <c r="G7" s="52"/>
      <c r="H7" s="52"/>
      <c r="I7" s="52"/>
      <c r="J7" s="192"/>
      <c r="K7" s="57">
        <v>10</v>
      </c>
      <c r="L7" s="25">
        <v>76</v>
      </c>
      <c r="M7" s="26">
        <v>7.6</v>
      </c>
      <c r="N7" s="25">
        <v>10</v>
      </c>
      <c r="O7" s="25">
        <v>11</v>
      </c>
      <c r="P7" s="185">
        <v>4.7949999999999999</v>
      </c>
      <c r="Q7" s="185">
        <v>0.25838924126211105</v>
      </c>
      <c r="R7" s="186">
        <v>5.0719999999999992</v>
      </c>
      <c r="S7" s="187">
        <v>8</v>
      </c>
      <c r="T7" s="25">
        <v>78</v>
      </c>
      <c r="U7" s="26">
        <v>9.75</v>
      </c>
      <c r="V7" s="25">
        <v>8</v>
      </c>
      <c r="W7" s="25">
        <v>9</v>
      </c>
      <c r="X7" s="26">
        <v>3.8087499999999999</v>
      </c>
      <c r="Y7" s="26">
        <v>0.38397387606450412</v>
      </c>
      <c r="Z7" s="188">
        <v>4.1015000000000006</v>
      </c>
      <c r="AA7" s="198"/>
    </row>
    <row r="8" spans="1:41" x14ac:dyDescent="0.3">
      <c r="A8" s="220"/>
      <c r="B8" s="151" t="s">
        <v>16</v>
      </c>
      <c r="C8" s="52"/>
      <c r="D8" s="52"/>
      <c r="E8" s="53"/>
      <c r="F8" s="52"/>
      <c r="G8" s="52"/>
      <c r="H8" s="52"/>
      <c r="I8" s="52"/>
      <c r="J8" s="192"/>
      <c r="K8" s="9">
        <v>10</v>
      </c>
      <c r="L8" s="10">
        <v>55</v>
      </c>
      <c r="M8" s="11">
        <v>5.5</v>
      </c>
      <c r="N8" s="10">
        <v>10</v>
      </c>
      <c r="O8" s="65">
        <v>15</v>
      </c>
      <c r="P8" s="67">
        <v>5.5400000000000009</v>
      </c>
      <c r="Q8" s="67">
        <v>0.42808877583976801</v>
      </c>
      <c r="R8" s="70">
        <v>6.0349999999999993</v>
      </c>
      <c r="S8" s="13">
        <v>8</v>
      </c>
      <c r="T8" s="10">
        <v>33</v>
      </c>
      <c r="U8" s="11">
        <v>4.125</v>
      </c>
      <c r="V8" s="10">
        <v>8</v>
      </c>
      <c r="W8" s="10">
        <v>19</v>
      </c>
      <c r="X8" s="11">
        <v>4.8012499999999996</v>
      </c>
      <c r="Y8" s="11">
        <v>0.82453680178631583</v>
      </c>
      <c r="Z8" s="12">
        <v>5.62</v>
      </c>
      <c r="AA8" s="198"/>
    </row>
    <row r="9" spans="1:41" x14ac:dyDescent="0.3">
      <c r="A9" s="220"/>
      <c r="B9" s="151" t="s">
        <v>19</v>
      </c>
      <c r="C9" s="52"/>
      <c r="D9" s="52"/>
      <c r="E9" s="53"/>
      <c r="F9" s="52"/>
      <c r="G9" s="52"/>
      <c r="H9" s="52"/>
      <c r="I9" s="52"/>
      <c r="J9" s="192"/>
      <c r="K9" s="9">
        <v>6</v>
      </c>
      <c r="L9" s="10">
        <v>35</v>
      </c>
      <c r="M9" s="11">
        <v>5.833333333333333</v>
      </c>
      <c r="N9" s="10">
        <v>6</v>
      </c>
      <c r="O9" s="65">
        <v>14</v>
      </c>
      <c r="P9" s="67">
        <v>4.8433333333333337</v>
      </c>
      <c r="Q9" s="67">
        <v>0.87194546210694246</v>
      </c>
      <c r="R9" s="70">
        <v>5.5125000000000002</v>
      </c>
      <c r="S9" s="13">
        <v>5</v>
      </c>
      <c r="T9" s="10">
        <v>20</v>
      </c>
      <c r="U9" s="11">
        <v>4</v>
      </c>
      <c r="V9" s="10">
        <v>5</v>
      </c>
      <c r="W9" s="10">
        <v>13</v>
      </c>
      <c r="X9" s="11">
        <v>4.5000000000000009</v>
      </c>
      <c r="Y9" s="11">
        <v>0.68058798108693841</v>
      </c>
      <c r="Z9" s="12">
        <v>5.1420000000000003</v>
      </c>
      <c r="AA9" s="198"/>
    </row>
    <row r="10" spans="1:41" x14ac:dyDescent="0.3">
      <c r="A10" s="220"/>
      <c r="B10" s="150" t="s">
        <v>55</v>
      </c>
      <c r="C10" s="189">
        <v>30</v>
      </c>
      <c r="D10" s="189">
        <v>185</v>
      </c>
      <c r="E10" s="163">
        <v>6.166666666666667</v>
      </c>
      <c r="F10" s="189">
        <v>29</v>
      </c>
      <c r="G10" s="189">
        <v>29</v>
      </c>
      <c r="H10" s="163">
        <v>5.1058620689655179</v>
      </c>
      <c r="I10" s="190">
        <v>0.46539947424787537</v>
      </c>
      <c r="J10" s="191">
        <v>5.3680000000000003</v>
      </c>
      <c r="K10" s="93"/>
      <c r="L10" s="94"/>
      <c r="M10" s="95"/>
      <c r="N10" s="94"/>
      <c r="O10" s="94"/>
      <c r="P10" s="95"/>
      <c r="Q10" s="94"/>
      <c r="R10" s="98"/>
      <c r="S10" s="97"/>
      <c r="T10" s="94"/>
      <c r="U10" s="95"/>
      <c r="V10" s="94"/>
      <c r="W10" s="94"/>
      <c r="X10" s="95"/>
      <c r="Y10" s="94"/>
      <c r="Z10" s="98"/>
      <c r="AA10" s="198"/>
    </row>
    <row r="11" spans="1:41" x14ac:dyDescent="0.3">
      <c r="A11" s="220"/>
      <c r="B11" s="151" t="s">
        <v>12</v>
      </c>
      <c r="C11" s="52"/>
      <c r="D11" s="52"/>
      <c r="E11" s="53"/>
      <c r="F11" s="52"/>
      <c r="G11" s="52"/>
      <c r="H11" s="52"/>
      <c r="I11" s="52"/>
      <c r="J11" s="192"/>
      <c r="K11" s="9">
        <v>17</v>
      </c>
      <c r="L11" s="10">
        <v>79</v>
      </c>
      <c r="M11" s="11">
        <v>4.6470588235294121</v>
      </c>
      <c r="N11" s="10">
        <v>17</v>
      </c>
      <c r="O11" s="10">
        <v>37</v>
      </c>
      <c r="P11" s="67">
        <v>4.7235294117647069</v>
      </c>
      <c r="Q11" s="67">
        <v>0.50110397155820585</v>
      </c>
      <c r="R11" s="70">
        <v>5.282</v>
      </c>
      <c r="S11" s="13">
        <v>14</v>
      </c>
      <c r="T11" s="10">
        <v>59</v>
      </c>
      <c r="U11" s="11">
        <v>4.2142857142857144</v>
      </c>
      <c r="V11" s="10">
        <v>13</v>
      </c>
      <c r="W11" s="10">
        <v>30</v>
      </c>
      <c r="X11" s="11">
        <v>3.9046153846153846</v>
      </c>
      <c r="Y11" s="11">
        <v>0.49478224246189545</v>
      </c>
      <c r="Z11" s="12">
        <v>4.3079999999999998</v>
      </c>
      <c r="AA11" s="198"/>
    </row>
    <row r="12" spans="1:41" x14ac:dyDescent="0.3">
      <c r="A12" s="220"/>
      <c r="B12" s="151" t="s">
        <v>13</v>
      </c>
      <c r="C12" s="52"/>
      <c r="D12" s="52"/>
      <c r="E12" s="53"/>
      <c r="F12" s="52"/>
      <c r="G12" s="52"/>
      <c r="H12" s="52"/>
      <c r="I12" s="52"/>
      <c r="J12" s="192"/>
      <c r="K12" s="14"/>
      <c r="L12" s="15"/>
      <c r="M12" s="16"/>
      <c r="N12" s="15"/>
      <c r="O12" s="66"/>
      <c r="P12" s="68"/>
      <c r="Q12" s="68"/>
      <c r="R12" s="69"/>
      <c r="S12" s="13">
        <v>7</v>
      </c>
      <c r="T12" s="10">
        <v>21</v>
      </c>
      <c r="U12" s="11">
        <v>3</v>
      </c>
      <c r="V12" s="10">
        <v>7</v>
      </c>
      <c r="W12" s="10">
        <v>13</v>
      </c>
      <c r="X12" s="11">
        <v>4.83</v>
      </c>
      <c r="Y12" s="11">
        <v>0.60710083888216038</v>
      </c>
      <c r="Z12" s="12">
        <v>5.4490000000000007</v>
      </c>
      <c r="AA12" s="198"/>
    </row>
    <row r="13" spans="1:41" x14ac:dyDescent="0.3">
      <c r="A13" s="220"/>
      <c r="B13" s="151" t="s">
        <v>48</v>
      </c>
      <c r="C13" s="52"/>
      <c r="D13" s="52"/>
      <c r="E13" s="53"/>
      <c r="F13" s="52"/>
      <c r="G13" s="52"/>
      <c r="H13" s="52"/>
      <c r="I13" s="52"/>
      <c r="J13" s="192"/>
      <c r="K13" s="9">
        <v>29</v>
      </c>
      <c r="L13" s="10">
        <v>122</v>
      </c>
      <c r="M13" s="11">
        <v>4.2068965517241379</v>
      </c>
      <c r="N13" s="10">
        <v>29</v>
      </c>
      <c r="O13" s="10">
        <v>35</v>
      </c>
      <c r="P13" s="67">
        <v>5.1024137931034481</v>
      </c>
      <c r="Q13" s="67">
        <v>0.46969289432794487</v>
      </c>
      <c r="R13" s="70">
        <v>5.5640000000000001</v>
      </c>
      <c r="S13" s="13">
        <v>21</v>
      </c>
      <c r="T13" s="10">
        <v>85</v>
      </c>
      <c r="U13" s="11">
        <v>4.0476190476190474</v>
      </c>
      <c r="V13" s="10">
        <v>21</v>
      </c>
      <c r="W13" s="10">
        <v>31</v>
      </c>
      <c r="X13" s="11">
        <v>4.5809523809523816</v>
      </c>
      <c r="Y13" s="11">
        <v>0.55103283768629019</v>
      </c>
      <c r="Z13" s="12">
        <v>5.09</v>
      </c>
      <c r="AA13" s="198"/>
    </row>
    <row r="14" spans="1:41" x14ac:dyDescent="0.3">
      <c r="A14" s="220"/>
      <c r="B14" s="150" t="s">
        <v>56</v>
      </c>
      <c r="C14" s="189">
        <v>11</v>
      </c>
      <c r="D14" s="189">
        <v>67</v>
      </c>
      <c r="E14" s="163">
        <v>6.0909090909090908</v>
      </c>
      <c r="F14" s="189">
        <v>11</v>
      </c>
      <c r="G14" s="189">
        <v>11</v>
      </c>
      <c r="H14" s="163">
        <v>5.123636363636364</v>
      </c>
      <c r="I14" s="190">
        <v>0.60313231967895042</v>
      </c>
      <c r="J14" s="191">
        <v>5.8849999999999998</v>
      </c>
      <c r="K14" s="93"/>
      <c r="L14" s="94"/>
      <c r="M14" s="95"/>
      <c r="N14" s="94"/>
      <c r="O14" s="94"/>
      <c r="P14" s="95"/>
      <c r="Q14" s="94"/>
      <c r="R14" s="98"/>
      <c r="S14" s="97"/>
      <c r="T14" s="94"/>
      <c r="U14" s="95"/>
      <c r="V14" s="94"/>
      <c r="W14" s="94"/>
      <c r="X14" s="95"/>
      <c r="Y14" s="94"/>
      <c r="Z14" s="98"/>
      <c r="AA14" s="198"/>
    </row>
    <row r="15" spans="1:41" x14ac:dyDescent="0.3">
      <c r="A15" s="220"/>
      <c r="B15" s="150" t="s">
        <v>57</v>
      </c>
      <c r="C15" s="189">
        <v>13</v>
      </c>
      <c r="D15" s="189">
        <v>50</v>
      </c>
      <c r="E15" s="163">
        <v>3.8461538461538463</v>
      </c>
      <c r="F15" s="189">
        <v>13</v>
      </c>
      <c r="G15" s="189">
        <v>24</v>
      </c>
      <c r="H15" s="163">
        <v>5.4799999999999995</v>
      </c>
      <c r="I15" s="190">
        <v>0.49918394944612254</v>
      </c>
      <c r="J15" s="191">
        <v>5.9880000000000004</v>
      </c>
      <c r="K15" s="93"/>
      <c r="L15" s="94"/>
      <c r="M15" s="95"/>
      <c r="N15" s="94"/>
      <c r="O15" s="94"/>
      <c r="P15" s="95"/>
      <c r="Q15" s="94"/>
      <c r="R15" s="98"/>
      <c r="S15" s="97"/>
      <c r="T15" s="94"/>
      <c r="U15" s="95"/>
      <c r="V15" s="94"/>
      <c r="W15" s="94"/>
      <c r="X15" s="95"/>
      <c r="Y15" s="94"/>
      <c r="Z15" s="98"/>
      <c r="AA15" s="198"/>
    </row>
    <row r="16" spans="1:41" x14ac:dyDescent="0.3">
      <c r="A16" s="220"/>
      <c r="B16" s="151" t="s">
        <v>50</v>
      </c>
      <c r="C16" s="52"/>
      <c r="D16" s="52"/>
      <c r="E16" s="53"/>
      <c r="F16" s="52"/>
      <c r="G16" s="52"/>
      <c r="H16" s="52"/>
      <c r="I16" s="52"/>
      <c r="J16" s="192"/>
      <c r="K16" s="9">
        <v>14</v>
      </c>
      <c r="L16" s="10">
        <v>42</v>
      </c>
      <c r="M16" s="11">
        <v>3</v>
      </c>
      <c r="N16" s="10">
        <v>14</v>
      </c>
      <c r="O16" s="10">
        <v>13</v>
      </c>
      <c r="P16" s="67">
        <v>5.0964285714285724</v>
      </c>
      <c r="Q16" s="67">
        <v>0.98744697610162324</v>
      </c>
      <c r="R16" s="70">
        <v>6.0234999999999994</v>
      </c>
      <c r="S16" s="13">
        <v>12</v>
      </c>
      <c r="T16" s="10">
        <v>35</v>
      </c>
      <c r="U16" s="11">
        <v>2.9166666666666665</v>
      </c>
      <c r="V16" s="10">
        <v>12</v>
      </c>
      <c r="W16" s="10">
        <v>14</v>
      </c>
      <c r="X16" s="11">
        <v>4.7766666666666673</v>
      </c>
      <c r="Y16" s="11">
        <v>0.50150329565771579</v>
      </c>
      <c r="Z16" s="12">
        <v>5.2374999999999998</v>
      </c>
      <c r="AA16" s="198"/>
    </row>
    <row r="17" spans="1:27" x14ac:dyDescent="0.3">
      <c r="A17" s="220"/>
      <c r="B17" s="151" t="s">
        <v>21</v>
      </c>
      <c r="C17" s="52"/>
      <c r="D17" s="52"/>
      <c r="E17" s="53"/>
      <c r="F17" s="52"/>
      <c r="G17" s="52"/>
      <c r="H17" s="52"/>
      <c r="I17" s="52"/>
      <c r="J17" s="192"/>
      <c r="K17" s="9">
        <v>5</v>
      </c>
      <c r="L17" s="10">
        <v>15</v>
      </c>
      <c r="M17" s="11">
        <v>3</v>
      </c>
      <c r="N17" s="10">
        <v>5</v>
      </c>
      <c r="O17" s="65">
        <v>6</v>
      </c>
      <c r="P17" s="67">
        <v>5.1120000000000001</v>
      </c>
      <c r="Q17" s="67">
        <v>0.69849552611308874</v>
      </c>
      <c r="R17" s="70">
        <v>5.6520000000000001</v>
      </c>
      <c r="S17" s="13">
        <v>5</v>
      </c>
      <c r="T17" s="10">
        <v>13</v>
      </c>
      <c r="U17" s="11">
        <v>2.6</v>
      </c>
      <c r="V17" s="10">
        <v>5</v>
      </c>
      <c r="W17" s="10">
        <v>6</v>
      </c>
      <c r="X17" s="11">
        <v>5.0520000000000005</v>
      </c>
      <c r="Y17" s="11">
        <v>0.45503406465889257</v>
      </c>
      <c r="Z17" s="12">
        <v>5.48</v>
      </c>
      <c r="AA17" s="198"/>
    </row>
    <row r="18" spans="1:27" x14ac:dyDescent="0.3">
      <c r="A18" s="220"/>
      <c r="B18" s="150" t="s">
        <v>58</v>
      </c>
      <c r="C18" s="189">
        <v>22</v>
      </c>
      <c r="D18" s="189">
        <v>70</v>
      </c>
      <c r="E18" s="163">
        <v>3.1818181818181817</v>
      </c>
      <c r="F18" s="189">
        <v>21</v>
      </c>
      <c r="G18" s="189">
        <v>29</v>
      </c>
      <c r="H18" s="163">
        <v>5.6933333333333325</v>
      </c>
      <c r="I18" s="190">
        <v>0.58224796986567762</v>
      </c>
      <c r="J18" s="191">
        <v>6.21</v>
      </c>
      <c r="K18" s="93"/>
      <c r="L18" s="94"/>
      <c r="M18" s="95"/>
      <c r="N18" s="94"/>
      <c r="O18" s="94"/>
      <c r="P18" s="95"/>
      <c r="Q18" s="94"/>
      <c r="R18" s="98"/>
      <c r="S18" s="97"/>
      <c r="T18" s="94"/>
      <c r="U18" s="95"/>
      <c r="V18" s="94"/>
      <c r="W18" s="94"/>
      <c r="X18" s="95"/>
      <c r="Y18" s="94"/>
      <c r="Z18" s="98"/>
      <c r="AA18" s="198"/>
    </row>
    <row r="19" spans="1:27" x14ac:dyDescent="0.3">
      <c r="A19" s="220"/>
      <c r="B19" s="151" t="s">
        <v>35</v>
      </c>
      <c r="C19" s="52"/>
      <c r="D19" s="52"/>
      <c r="E19" s="53"/>
      <c r="F19" s="52"/>
      <c r="G19" s="52"/>
      <c r="H19" s="52"/>
      <c r="I19" s="52"/>
      <c r="J19" s="192"/>
      <c r="K19" s="57">
        <v>7</v>
      </c>
      <c r="L19" s="10">
        <v>28</v>
      </c>
      <c r="M19" s="11">
        <v>4</v>
      </c>
      <c r="N19" s="10">
        <v>7</v>
      </c>
      <c r="O19" s="65">
        <v>10</v>
      </c>
      <c r="P19" s="67">
        <v>5.6257142857142854</v>
      </c>
      <c r="Q19" s="67">
        <v>0.29836971997158762</v>
      </c>
      <c r="R19" s="70">
        <v>5.85</v>
      </c>
      <c r="S19" s="13">
        <v>5</v>
      </c>
      <c r="T19" s="10">
        <v>13</v>
      </c>
      <c r="U19" s="11">
        <v>2.6</v>
      </c>
      <c r="V19" s="10">
        <v>5</v>
      </c>
      <c r="W19" s="10">
        <v>7</v>
      </c>
      <c r="X19" s="11">
        <v>5.5939999999999994</v>
      </c>
      <c r="Y19" s="11">
        <v>0.5090618822893791</v>
      </c>
      <c r="Z19" s="12">
        <v>6.1580000000000004</v>
      </c>
      <c r="AA19" s="198"/>
    </row>
    <row r="20" spans="1:27" x14ac:dyDescent="0.3">
      <c r="A20" s="220"/>
      <c r="B20" s="151" t="s">
        <v>15</v>
      </c>
      <c r="C20" s="52"/>
      <c r="D20" s="52"/>
      <c r="E20" s="53"/>
      <c r="F20" s="52"/>
      <c r="G20" s="52"/>
      <c r="H20" s="52"/>
      <c r="I20" s="52"/>
      <c r="J20" s="192"/>
      <c r="K20" s="57">
        <v>25</v>
      </c>
      <c r="L20" s="10">
        <v>80</v>
      </c>
      <c r="M20" s="11">
        <v>3.2</v>
      </c>
      <c r="N20" s="10">
        <v>25</v>
      </c>
      <c r="O20" s="10">
        <v>33</v>
      </c>
      <c r="P20" s="67">
        <v>5.3532000000000002</v>
      </c>
      <c r="Q20" s="67">
        <v>0.45978012136236657</v>
      </c>
      <c r="R20" s="70">
        <v>5.84</v>
      </c>
      <c r="S20" s="13">
        <v>20</v>
      </c>
      <c r="T20" s="10">
        <v>69</v>
      </c>
      <c r="U20" s="11">
        <v>3.45</v>
      </c>
      <c r="V20" s="10">
        <v>19</v>
      </c>
      <c r="W20" s="10">
        <v>28</v>
      </c>
      <c r="X20" s="11">
        <v>4.5631578947368414</v>
      </c>
      <c r="Y20" s="11">
        <v>0.58053562048181706</v>
      </c>
      <c r="Z20" s="12">
        <v>5.3380000000000001</v>
      </c>
      <c r="AA20" s="198"/>
    </row>
    <row r="21" spans="1:27" x14ac:dyDescent="0.3">
      <c r="A21" s="220"/>
      <c r="B21" s="150" t="s">
        <v>59</v>
      </c>
      <c r="C21" s="189">
        <v>30</v>
      </c>
      <c r="D21" s="189">
        <v>187</v>
      </c>
      <c r="E21" s="163">
        <v>6.2333333333333334</v>
      </c>
      <c r="F21" s="189">
        <v>29</v>
      </c>
      <c r="G21" s="189">
        <v>41</v>
      </c>
      <c r="H21" s="163">
        <v>4.6310344827586212</v>
      </c>
      <c r="I21" s="190">
        <v>0.48533205716033889</v>
      </c>
      <c r="J21" s="191">
        <v>5.0860000000000003</v>
      </c>
      <c r="K21" s="9">
        <v>42</v>
      </c>
      <c r="L21" s="10">
        <v>175</v>
      </c>
      <c r="M21" s="11">
        <v>4.166666666666667</v>
      </c>
      <c r="N21" s="10">
        <v>39</v>
      </c>
      <c r="O21" s="10">
        <v>61</v>
      </c>
      <c r="P21" s="67">
        <v>4.9194871794871808</v>
      </c>
      <c r="Q21" s="67">
        <v>0.59342529704163927</v>
      </c>
      <c r="R21" s="70">
        <v>5.51</v>
      </c>
      <c r="S21" s="13">
        <v>34</v>
      </c>
      <c r="T21" s="10">
        <v>167</v>
      </c>
      <c r="U21" s="11">
        <v>4.9117647058823533</v>
      </c>
      <c r="V21" s="10">
        <v>34</v>
      </c>
      <c r="W21" s="10">
        <v>49</v>
      </c>
      <c r="X21" s="11">
        <v>4.254999999999999</v>
      </c>
      <c r="Y21" s="11">
        <v>0.59199687002352674</v>
      </c>
      <c r="Z21" s="12">
        <v>4.8834999999999997</v>
      </c>
      <c r="AA21" s="198"/>
    </row>
    <row r="22" spans="1:27" x14ac:dyDescent="0.3">
      <c r="A22" s="220"/>
      <c r="B22" s="150" t="s">
        <v>60</v>
      </c>
      <c r="C22" s="189">
        <v>24</v>
      </c>
      <c r="D22" s="189">
        <v>165</v>
      </c>
      <c r="E22" s="163">
        <v>6.875</v>
      </c>
      <c r="F22" s="189">
        <v>24</v>
      </c>
      <c r="G22" s="189">
        <v>36</v>
      </c>
      <c r="H22" s="163">
        <v>4.6012500000000012</v>
      </c>
      <c r="I22" s="190">
        <v>0.64852597288003289</v>
      </c>
      <c r="J22" s="191">
        <v>5.3340000000000005</v>
      </c>
      <c r="K22" s="93"/>
      <c r="L22" s="94"/>
      <c r="M22" s="95"/>
      <c r="N22" s="94"/>
      <c r="O22" s="94"/>
      <c r="P22" s="95"/>
      <c r="Q22" s="94"/>
      <c r="R22" s="98"/>
      <c r="S22" s="97"/>
      <c r="T22" s="94"/>
      <c r="U22" s="95"/>
      <c r="V22" s="94"/>
      <c r="W22" s="94"/>
      <c r="X22" s="95"/>
      <c r="Y22" s="94"/>
      <c r="Z22" s="98"/>
      <c r="AA22" s="198"/>
    </row>
    <row r="23" spans="1:27" x14ac:dyDescent="0.3">
      <c r="A23" s="220"/>
      <c r="B23" s="151" t="s">
        <v>17</v>
      </c>
      <c r="C23" s="52"/>
      <c r="D23" s="52"/>
      <c r="E23" s="53"/>
      <c r="F23" s="52"/>
      <c r="G23" s="52"/>
      <c r="H23" s="52"/>
      <c r="I23" s="52"/>
      <c r="J23" s="192"/>
      <c r="K23" s="9">
        <v>16</v>
      </c>
      <c r="L23" s="10">
        <v>89</v>
      </c>
      <c r="M23" s="11">
        <v>5.5625</v>
      </c>
      <c r="N23" s="10">
        <v>16</v>
      </c>
      <c r="O23" s="65">
        <v>17</v>
      </c>
      <c r="P23" s="67">
        <v>3.9812499999999997</v>
      </c>
      <c r="Q23" s="67">
        <v>0.60211995275028274</v>
      </c>
      <c r="R23" s="70">
        <v>4.4275000000000002</v>
      </c>
      <c r="S23" s="13">
        <v>13</v>
      </c>
      <c r="T23" s="10">
        <v>112</v>
      </c>
      <c r="U23" s="11">
        <v>8.615384615384615</v>
      </c>
      <c r="V23" s="10">
        <v>13</v>
      </c>
      <c r="W23" s="10">
        <v>25</v>
      </c>
      <c r="X23" s="11">
        <v>3.6430769230769235</v>
      </c>
      <c r="Y23" s="11">
        <v>0.40649315663430985</v>
      </c>
      <c r="Z23" s="12">
        <v>3.968</v>
      </c>
      <c r="AA23" s="198"/>
    </row>
    <row r="24" spans="1:27" x14ac:dyDescent="0.3">
      <c r="A24" s="220"/>
      <c r="B24" s="151" t="s">
        <v>18</v>
      </c>
      <c r="C24" s="52"/>
      <c r="D24" s="52"/>
      <c r="E24" s="53"/>
      <c r="F24" s="52"/>
      <c r="G24" s="52"/>
      <c r="H24" s="52"/>
      <c r="I24" s="52"/>
      <c r="J24" s="192"/>
      <c r="K24" s="9">
        <v>13</v>
      </c>
      <c r="L24" s="10">
        <v>93</v>
      </c>
      <c r="M24" s="11">
        <v>7.1538461538461542</v>
      </c>
      <c r="N24" s="10">
        <v>13</v>
      </c>
      <c r="O24" s="65">
        <v>21</v>
      </c>
      <c r="P24" s="67">
        <v>4.2123076923076921</v>
      </c>
      <c r="Q24" s="67">
        <v>0.4820812865730264</v>
      </c>
      <c r="R24" s="70">
        <v>4.6559999999999997</v>
      </c>
      <c r="S24" s="13">
        <v>10</v>
      </c>
      <c r="T24" s="10">
        <v>122</v>
      </c>
      <c r="U24" s="11">
        <v>12.2</v>
      </c>
      <c r="V24" s="10">
        <v>9</v>
      </c>
      <c r="W24" s="10">
        <v>25</v>
      </c>
      <c r="X24" s="11">
        <v>3.9688888888888889</v>
      </c>
      <c r="Y24" s="11">
        <v>0.21455092347839252</v>
      </c>
      <c r="Z24" s="12">
        <v>4.194</v>
      </c>
      <c r="AA24" s="198"/>
    </row>
    <row r="25" spans="1:27" x14ac:dyDescent="0.3">
      <c r="A25" s="220"/>
      <c r="B25" s="150" t="s">
        <v>61</v>
      </c>
      <c r="C25" s="189">
        <v>6</v>
      </c>
      <c r="D25" s="189">
        <v>30</v>
      </c>
      <c r="E25" s="163">
        <v>5</v>
      </c>
      <c r="F25" s="189">
        <v>5</v>
      </c>
      <c r="G25" s="189">
        <v>7</v>
      </c>
      <c r="H25" s="163">
        <v>4.9080000000000004</v>
      </c>
      <c r="I25" s="190">
        <v>0.58485553771850174</v>
      </c>
      <c r="J25" s="191">
        <v>5.5600000000000005</v>
      </c>
      <c r="K25" s="9">
        <v>6</v>
      </c>
      <c r="L25" s="10">
        <v>58</v>
      </c>
      <c r="M25" s="11">
        <v>9.6666666666666661</v>
      </c>
      <c r="N25" s="10">
        <v>6</v>
      </c>
      <c r="O25" s="65">
        <v>19</v>
      </c>
      <c r="P25" s="67">
        <v>4.8050000000000006</v>
      </c>
      <c r="Q25" s="67">
        <v>0.25184320518925729</v>
      </c>
      <c r="R25" s="70">
        <v>4.9974999999999996</v>
      </c>
      <c r="S25" s="13">
        <v>5</v>
      </c>
      <c r="T25" s="10">
        <v>40</v>
      </c>
      <c r="U25" s="11">
        <v>8</v>
      </c>
      <c r="V25" s="10">
        <v>5</v>
      </c>
      <c r="W25" s="10">
        <v>10</v>
      </c>
      <c r="X25" s="11">
        <v>4.5</v>
      </c>
      <c r="Y25" s="11">
        <v>0.5183820984563442</v>
      </c>
      <c r="Z25" s="12">
        <v>4.8540000000000001</v>
      </c>
      <c r="AA25" s="198"/>
    </row>
    <row r="26" spans="1:27" x14ac:dyDescent="0.3">
      <c r="A26" s="220"/>
      <c r="B26" s="150" t="s">
        <v>62</v>
      </c>
      <c r="C26" s="189">
        <v>15</v>
      </c>
      <c r="D26" s="189">
        <v>53</v>
      </c>
      <c r="E26" s="163">
        <v>3.5333333333333332</v>
      </c>
      <c r="F26" s="189">
        <v>12</v>
      </c>
      <c r="G26" s="189">
        <v>16</v>
      </c>
      <c r="H26" s="163">
        <v>4.9416666666666673</v>
      </c>
      <c r="I26" s="190">
        <v>0.32817254946478064</v>
      </c>
      <c r="J26" s="191">
        <v>5.2835000000000001</v>
      </c>
      <c r="K26" s="93"/>
      <c r="L26" s="94"/>
      <c r="M26" s="95"/>
      <c r="N26" s="94"/>
      <c r="O26" s="94"/>
      <c r="P26" s="95"/>
      <c r="Q26" s="94"/>
      <c r="R26" s="98"/>
      <c r="S26" s="97"/>
      <c r="T26" s="94"/>
      <c r="U26" s="95"/>
      <c r="V26" s="94"/>
      <c r="W26" s="94"/>
      <c r="X26" s="95"/>
      <c r="Y26" s="94"/>
      <c r="Z26" s="98"/>
      <c r="AA26" s="198"/>
    </row>
    <row r="27" spans="1:27" x14ac:dyDescent="0.3">
      <c r="A27" s="220"/>
      <c r="B27" s="151" t="s">
        <v>37</v>
      </c>
      <c r="C27" s="52"/>
      <c r="D27" s="52"/>
      <c r="E27" s="53"/>
      <c r="F27" s="52"/>
      <c r="G27" s="52"/>
      <c r="H27" s="52"/>
      <c r="I27" s="52"/>
      <c r="J27" s="192"/>
      <c r="K27" s="9">
        <v>6</v>
      </c>
      <c r="L27" s="10">
        <v>14</v>
      </c>
      <c r="M27" s="11">
        <v>2.3333333333333335</v>
      </c>
      <c r="N27" s="10">
        <v>6</v>
      </c>
      <c r="O27" s="65">
        <v>1</v>
      </c>
      <c r="P27" s="67">
        <v>5.3133333333333326</v>
      </c>
      <c r="Q27" s="67">
        <v>0.88531852397252808</v>
      </c>
      <c r="R27" s="70">
        <v>6.17</v>
      </c>
      <c r="S27" s="13">
        <v>6</v>
      </c>
      <c r="T27" s="10">
        <v>14</v>
      </c>
      <c r="U27" s="11">
        <v>2.3333333333333335</v>
      </c>
      <c r="V27" s="10">
        <v>6</v>
      </c>
      <c r="W27" s="10">
        <v>0</v>
      </c>
      <c r="X27" s="11">
        <v>5.1000000000000005</v>
      </c>
      <c r="Y27" s="11">
        <v>0.45876646201162274</v>
      </c>
      <c r="Z27" s="12">
        <v>5.51</v>
      </c>
      <c r="AA27" s="198"/>
    </row>
    <row r="28" spans="1:27" x14ac:dyDescent="0.3">
      <c r="A28" s="220"/>
      <c r="B28" s="151" t="s">
        <v>39</v>
      </c>
      <c r="C28" s="52"/>
      <c r="D28" s="52"/>
      <c r="E28" s="53"/>
      <c r="F28" s="52"/>
      <c r="G28" s="52"/>
      <c r="H28" s="52"/>
      <c r="I28" s="52"/>
      <c r="J28" s="192"/>
      <c r="K28" s="9">
        <v>7</v>
      </c>
      <c r="L28" s="10">
        <v>24</v>
      </c>
      <c r="M28" s="11">
        <v>3.4285714285714284</v>
      </c>
      <c r="N28" s="10">
        <v>6</v>
      </c>
      <c r="O28" s="65">
        <v>17</v>
      </c>
      <c r="P28" s="67">
        <v>4.5883333333333329</v>
      </c>
      <c r="Q28" s="67">
        <v>0.47778714461102872</v>
      </c>
      <c r="R28" s="70">
        <v>5.0149999999999997</v>
      </c>
      <c r="S28" s="13">
        <v>5</v>
      </c>
      <c r="T28" s="10">
        <v>31</v>
      </c>
      <c r="U28" s="11">
        <v>6.2</v>
      </c>
      <c r="V28" s="10">
        <v>5</v>
      </c>
      <c r="W28" s="10">
        <v>13</v>
      </c>
      <c r="X28" s="11">
        <v>3.6139999999999999</v>
      </c>
      <c r="Y28" s="11">
        <v>0.47781167838385685</v>
      </c>
      <c r="Z28" s="12">
        <v>4.0419999999999998</v>
      </c>
      <c r="AA28" s="198"/>
    </row>
    <row r="29" spans="1:27" x14ac:dyDescent="0.3">
      <c r="A29" s="220"/>
      <c r="B29" s="151" t="s">
        <v>20</v>
      </c>
      <c r="C29" s="52"/>
      <c r="D29" s="52"/>
      <c r="E29" s="53"/>
      <c r="F29" s="52"/>
      <c r="G29" s="52"/>
      <c r="H29" s="52"/>
      <c r="I29" s="52"/>
      <c r="J29" s="192"/>
      <c r="K29" s="9">
        <v>8</v>
      </c>
      <c r="L29" s="10">
        <v>25</v>
      </c>
      <c r="M29" s="11">
        <v>3.125</v>
      </c>
      <c r="N29" s="10">
        <v>7</v>
      </c>
      <c r="O29" s="65">
        <v>17</v>
      </c>
      <c r="P29" s="67">
        <v>5.1842857142857133</v>
      </c>
      <c r="Q29" s="67">
        <v>0.50660937735547706</v>
      </c>
      <c r="R29" s="70">
        <v>5.5839999999999996</v>
      </c>
      <c r="S29" s="13">
        <v>6</v>
      </c>
      <c r="T29" s="10">
        <v>20</v>
      </c>
      <c r="U29" s="11">
        <v>3.3333333333333335</v>
      </c>
      <c r="V29" s="10">
        <v>6</v>
      </c>
      <c r="W29" s="10">
        <v>6</v>
      </c>
      <c r="X29" s="11">
        <v>4.331666666666667</v>
      </c>
      <c r="Y29" s="11">
        <v>0.33233600801330321</v>
      </c>
      <c r="Z29" s="12">
        <v>4.5724999999999998</v>
      </c>
      <c r="AA29" s="198"/>
    </row>
    <row r="30" spans="1:27" x14ac:dyDescent="0.3">
      <c r="A30" s="220"/>
      <c r="B30" s="150" t="s">
        <v>63</v>
      </c>
      <c r="C30" s="189">
        <v>5</v>
      </c>
      <c r="D30" s="189">
        <v>34</v>
      </c>
      <c r="E30" s="163">
        <v>6.8</v>
      </c>
      <c r="F30" s="189">
        <v>5</v>
      </c>
      <c r="G30" s="189">
        <v>2</v>
      </c>
      <c r="H30" s="163">
        <v>5.5459999999999994</v>
      </c>
      <c r="I30" s="190">
        <v>0.31347089179062271</v>
      </c>
      <c r="J30" s="191">
        <v>5.8380000000000001</v>
      </c>
      <c r="K30" s="9">
        <v>6</v>
      </c>
      <c r="L30" s="10">
        <v>15</v>
      </c>
      <c r="M30" s="11">
        <v>2.5</v>
      </c>
      <c r="N30" s="10">
        <v>6</v>
      </c>
      <c r="O30" s="65">
        <v>5</v>
      </c>
      <c r="P30" s="67">
        <v>6.1966666666666663</v>
      </c>
      <c r="Q30" s="67">
        <v>0.77990740191099117</v>
      </c>
      <c r="R30" s="70">
        <v>7.1675000000000004</v>
      </c>
      <c r="S30" s="13">
        <v>5</v>
      </c>
      <c r="T30" s="10">
        <v>19</v>
      </c>
      <c r="U30" s="11">
        <v>3.8</v>
      </c>
      <c r="V30" s="10">
        <v>5</v>
      </c>
      <c r="W30" s="10">
        <v>6</v>
      </c>
      <c r="X30" s="11">
        <v>5.0679999999999996</v>
      </c>
      <c r="Y30" s="11">
        <v>0.28645418481844931</v>
      </c>
      <c r="Z30" s="12">
        <v>5.37</v>
      </c>
      <c r="AA30" s="198"/>
    </row>
    <row r="31" spans="1:27" x14ac:dyDescent="0.3">
      <c r="A31" s="220"/>
      <c r="B31" s="150" t="s">
        <v>64</v>
      </c>
      <c r="C31" s="189">
        <v>7</v>
      </c>
      <c r="D31" s="189">
        <v>23</v>
      </c>
      <c r="E31" s="163">
        <v>3.2857142857142856</v>
      </c>
      <c r="F31" s="189">
        <v>6</v>
      </c>
      <c r="G31" s="189">
        <v>11</v>
      </c>
      <c r="H31" s="163">
        <v>5.544999999999999</v>
      </c>
      <c r="I31" s="190">
        <v>0.66894817935821627</v>
      </c>
      <c r="J31" s="191">
        <v>5.9875000000000007</v>
      </c>
      <c r="K31" s="9">
        <v>8</v>
      </c>
      <c r="L31" s="10">
        <v>23</v>
      </c>
      <c r="M31" s="11">
        <v>2.875</v>
      </c>
      <c r="N31" s="10">
        <v>7</v>
      </c>
      <c r="O31" s="65">
        <v>9</v>
      </c>
      <c r="P31" s="67">
        <v>5.2628571428571425</v>
      </c>
      <c r="Q31" s="67">
        <v>0.8174999219871435</v>
      </c>
      <c r="R31" s="70">
        <v>5.6869999999999994</v>
      </c>
      <c r="S31" s="13">
        <v>6</v>
      </c>
      <c r="T31" s="10">
        <v>24</v>
      </c>
      <c r="U31" s="11">
        <v>4</v>
      </c>
      <c r="V31" s="10">
        <v>6</v>
      </c>
      <c r="W31" s="10">
        <v>6</v>
      </c>
      <c r="X31" s="11">
        <v>4.3983333333333334</v>
      </c>
      <c r="Y31" s="11">
        <v>0.49401135839393689</v>
      </c>
      <c r="Z31" s="12">
        <v>4.67</v>
      </c>
      <c r="AA31" s="198"/>
    </row>
    <row r="32" spans="1:27" x14ac:dyDescent="0.3">
      <c r="A32" s="220"/>
      <c r="B32" s="150" t="s">
        <v>65</v>
      </c>
      <c r="C32" s="189">
        <v>6</v>
      </c>
      <c r="D32" s="189">
        <v>19</v>
      </c>
      <c r="E32" s="163">
        <v>3.1666666666666665</v>
      </c>
      <c r="F32" s="189">
        <v>4</v>
      </c>
      <c r="G32" s="189">
        <v>13</v>
      </c>
      <c r="H32" s="163">
        <v>5.3549999999999995</v>
      </c>
      <c r="I32" s="190">
        <v>1.0539568302354729</v>
      </c>
      <c r="J32" s="191">
        <v>5.9820000000000002</v>
      </c>
      <c r="K32" s="9">
        <v>9</v>
      </c>
      <c r="L32" s="10">
        <v>33</v>
      </c>
      <c r="M32" s="11">
        <v>3.6666666666666665</v>
      </c>
      <c r="N32" s="10">
        <v>8</v>
      </c>
      <c r="O32" s="65">
        <v>9</v>
      </c>
      <c r="P32" s="67">
        <v>5.1975000000000007</v>
      </c>
      <c r="Q32" s="67">
        <v>0.38861130966556801</v>
      </c>
      <c r="R32" s="70">
        <v>5.5205000000000002</v>
      </c>
      <c r="S32" s="13">
        <v>7</v>
      </c>
      <c r="T32" s="10">
        <v>19</v>
      </c>
      <c r="U32" s="11">
        <v>2.7142857142857144</v>
      </c>
      <c r="V32" s="10">
        <v>6</v>
      </c>
      <c r="W32" s="10">
        <v>12</v>
      </c>
      <c r="X32" s="11">
        <v>5.8449999999999998</v>
      </c>
      <c r="Y32" s="11">
        <v>0.68053287944081264</v>
      </c>
      <c r="Z32" s="12">
        <v>6.6174999999999997</v>
      </c>
      <c r="AA32" s="198"/>
    </row>
    <row r="33" spans="1:26" ht="17.25" thickBot="1" x14ac:dyDescent="0.35">
      <c r="A33" s="221"/>
      <c r="B33" s="152" t="s">
        <v>67</v>
      </c>
      <c r="C33" s="193">
        <v>188</v>
      </c>
      <c r="D33" s="193">
        <v>1047</v>
      </c>
      <c r="E33" s="171">
        <v>5.5691489361702127</v>
      </c>
      <c r="F33" s="193">
        <v>178</v>
      </c>
      <c r="G33" s="193">
        <v>241</v>
      </c>
      <c r="H33" s="171">
        <v>5.0325842696629222</v>
      </c>
      <c r="I33" s="194">
        <v>0.67095274886778067</v>
      </c>
      <c r="J33" s="195"/>
      <c r="K33" s="18">
        <v>255</v>
      </c>
      <c r="L33" s="19">
        <v>1129</v>
      </c>
      <c r="M33" s="20">
        <v>4.4274509803921571</v>
      </c>
      <c r="N33" s="19">
        <v>247</v>
      </c>
      <c r="O33" s="144">
        <v>366</v>
      </c>
      <c r="P33" s="145">
        <v>4.9780566801619432</v>
      </c>
      <c r="Q33" s="145">
        <v>0.7244421760382147</v>
      </c>
      <c r="R33" s="71"/>
      <c r="S33" s="32">
        <v>202</v>
      </c>
      <c r="T33" s="19">
        <v>994</v>
      </c>
      <c r="U33" s="20">
        <v>4.9207920792079207</v>
      </c>
      <c r="V33" s="19">
        <v>198</v>
      </c>
      <c r="W33" s="19">
        <v>322</v>
      </c>
      <c r="X33" s="20">
        <v>4.4500505050505037</v>
      </c>
      <c r="Y33" s="20">
        <v>0.73629738274225176</v>
      </c>
      <c r="Z33" s="29"/>
    </row>
  </sheetData>
  <mergeCells count="13">
    <mergeCell ref="C4:G4"/>
    <mergeCell ref="H4:J4"/>
    <mergeCell ref="A6:A33"/>
    <mergeCell ref="A1:Z1"/>
    <mergeCell ref="A3:A5"/>
    <mergeCell ref="B3:B5"/>
    <mergeCell ref="S3:Z3"/>
    <mergeCell ref="S4:W4"/>
    <mergeCell ref="X4:Z4"/>
    <mergeCell ref="K3:R3"/>
    <mergeCell ref="K4:O4"/>
    <mergeCell ref="P4:R4"/>
    <mergeCell ref="C3:J3"/>
  </mergeCells>
  <phoneticPr fontId="2" type="noConversion"/>
  <printOptions horizontalCentered="1"/>
  <pageMargins left="0.39370078740157483" right="0.39370078740157483" top="0.74803149606299213" bottom="0.55118110236220474" header="0.31496062992125984" footer="0.23622047244094491"/>
  <pageSetup paperSize="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Z37"/>
  <sheetViews>
    <sheetView zoomScale="85" zoomScaleNormal="85" workbookViewId="0">
      <pane xSplit="4" ySplit="8" topLeftCell="E9" activePane="bottomRight" state="frozen"/>
      <selection pane="topRight" activeCell="E1" sqref="E1"/>
      <selection pane="bottomLeft" activeCell="A6" sqref="A6"/>
      <selection pane="bottomRight" sqref="A1:AZ1"/>
    </sheetView>
  </sheetViews>
  <sheetFormatPr defaultRowHeight="16.5" x14ac:dyDescent="0.3"/>
  <cols>
    <col min="1" max="1" width="12.625" customWidth="1"/>
    <col min="2" max="2" width="30.625" customWidth="1"/>
    <col min="3" max="3" width="12.625" bestFit="1" customWidth="1"/>
    <col min="4" max="20" width="6" customWidth="1"/>
    <col min="21" max="42" width="5.375" customWidth="1"/>
    <col min="43" max="43" width="6.25" customWidth="1"/>
    <col min="44" max="44" width="5.375" customWidth="1"/>
    <col min="45" max="45" width="6.25" customWidth="1"/>
    <col min="46" max="52" width="5.375" customWidth="1"/>
  </cols>
  <sheetData>
    <row r="1" spans="1:52" ht="31.5" x14ac:dyDescent="0.3">
      <c r="A1" s="211" t="s">
        <v>29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</row>
    <row r="2" spans="1:52" ht="16.5" customHeight="1" x14ac:dyDescent="0.3">
      <c r="A2" s="37"/>
      <c r="B2" s="37"/>
      <c r="C2" s="37"/>
      <c r="D2" s="37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</row>
    <row r="3" spans="1:52" x14ac:dyDescent="0.3">
      <c r="A3" t="s">
        <v>90</v>
      </c>
    </row>
    <row r="4" spans="1:52" x14ac:dyDescent="0.3">
      <c r="A4" s="196" t="s">
        <v>89</v>
      </c>
    </row>
    <row r="5" spans="1:52" ht="17.25" thickBot="1" x14ac:dyDescent="0.35">
      <c r="A5" s="196" t="s">
        <v>88</v>
      </c>
    </row>
    <row r="6" spans="1:52" x14ac:dyDescent="0.3">
      <c r="A6" s="222" t="s">
        <v>11</v>
      </c>
      <c r="B6" s="224" t="s">
        <v>0</v>
      </c>
      <c r="C6" s="224" t="s">
        <v>24</v>
      </c>
      <c r="D6" s="231" t="s">
        <v>75</v>
      </c>
      <c r="E6" s="216" t="s">
        <v>53</v>
      </c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8"/>
      <c r="U6" s="216" t="s">
        <v>47</v>
      </c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8"/>
      <c r="AK6" s="216" t="s">
        <v>33</v>
      </c>
      <c r="AL6" s="217"/>
      <c r="AM6" s="217"/>
      <c r="AN6" s="217"/>
      <c r="AO6" s="217"/>
      <c r="AP6" s="217"/>
      <c r="AQ6" s="217"/>
      <c r="AR6" s="217"/>
      <c r="AS6" s="217"/>
      <c r="AT6" s="217"/>
      <c r="AU6" s="217"/>
      <c r="AV6" s="217"/>
      <c r="AW6" s="217"/>
      <c r="AX6" s="217"/>
      <c r="AY6" s="217"/>
      <c r="AZ6" s="218"/>
    </row>
    <row r="7" spans="1:52" ht="30" customHeight="1" x14ac:dyDescent="0.3">
      <c r="A7" s="223"/>
      <c r="B7" s="225"/>
      <c r="C7" s="225"/>
      <c r="D7" s="232"/>
      <c r="E7" s="206" t="s">
        <v>77</v>
      </c>
      <c r="F7" s="207"/>
      <c r="G7" s="207"/>
      <c r="H7" s="207"/>
      <c r="I7" s="207"/>
      <c r="J7" s="209" t="s">
        <v>78</v>
      </c>
      <c r="K7" s="209"/>
      <c r="L7" s="209"/>
      <c r="M7" s="209"/>
      <c r="N7" s="209" t="s">
        <v>85</v>
      </c>
      <c r="O7" s="209"/>
      <c r="P7" s="209"/>
      <c r="Q7" s="209" t="s">
        <v>86</v>
      </c>
      <c r="R7" s="209"/>
      <c r="S7" s="209"/>
      <c r="T7" s="210"/>
      <c r="U7" s="206" t="s">
        <v>52</v>
      </c>
      <c r="V7" s="207"/>
      <c r="W7" s="207"/>
      <c r="X7" s="207"/>
      <c r="Y7" s="207"/>
      <c r="Z7" s="209" t="s">
        <v>78</v>
      </c>
      <c r="AA7" s="209"/>
      <c r="AB7" s="209"/>
      <c r="AC7" s="209"/>
      <c r="AD7" s="209" t="s">
        <v>87</v>
      </c>
      <c r="AE7" s="209"/>
      <c r="AF7" s="209"/>
      <c r="AG7" s="209" t="s">
        <v>46</v>
      </c>
      <c r="AH7" s="209"/>
      <c r="AI7" s="209"/>
      <c r="AJ7" s="210"/>
      <c r="AK7" s="206" t="s">
        <v>34</v>
      </c>
      <c r="AL7" s="207"/>
      <c r="AM7" s="207"/>
      <c r="AN7" s="207"/>
      <c r="AO7" s="207"/>
      <c r="AP7" s="209" t="s">
        <v>78</v>
      </c>
      <c r="AQ7" s="209"/>
      <c r="AR7" s="209"/>
      <c r="AS7" s="209"/>
      <c r="AT7" s="209" t="s">
        <v>87</v>
      </c>
      <c r="AU7" s="209"/>
      <c r="AV7" s="209"/>
      <c r="AW7" s="209" t="s">
        <v>46</v>
      </c>
      <c r="AX7" s="209"/>
      <c r="AY7" s="209"/>
      <c r="AZ7" s="210"/>
    </row>
    <row r="8" spans="1:52" ht="36" x14ac:dyDescent="0.3">
      <c r="A8" s="223"/>
      <c r="B8" s="225"/>
      <c r="C8" s="225"/>
      <c r="D8" s="232"/>
      <c r="E8" s="3" t="s">
        <v>4</v>
      </c>
      <c r="F8" s="1" t="s">
        <v>5</v>
      </c>
      <c r="G8" s="75" t="s">
        <v>6</v>
      </c>
      <c r="H8" s="1" t="s">
        <v>32</v>
      </c>
      <c r="I8" s="1" t="s">
        <v>7</v>
      </c>
      <c r="J8" s="1" t="s">
        <v>25</v>
      </c>
      <c r="K8" s="1" t="s">
        <v>26</v>
      </c>
      <c r="L8" s="1" t="s">
        <v>28</v>
      </c>
      <c r="M8" s="2">
        <v>0.85</v>
      </c>
      <c r="N8" s="1" t="s">
        <v>26</v>
      </c>
      <c r="O8" s="1" t="s">
        <v>28</v>
      </c>
      <c r="P8" s="2">
        <v>0.85</v>
      </c>
      <c r="Q8" s="1" t="s">
        <v>25</v>
      </c>
      <c r="R8" s="1" t="s">
        <v>26</v>
      </c>
      <c r="S8" s="1" t="s">
        <v>28</v>
      </c>
      <c r="T8" s="4">
        <v>0.85</v>
      </c>
      <c r="U8" s="3" t="s">
        <v>4</v>
      </c>
      <c r="V8" s="1" t="s">
        <v>5</v>
      </c>
      <c r="W8" s="75" t="s">
        <v>6</v>
      </c>
      <c r="X8" s="1" t="s">
        <v>32</v>
      </c>
      <c r="Y8" s="1" t="s">
        <v>7</v>
      </c>
      <c r="Z8" s="1" t="s">
        <v>25</v>
      </c>
      <c r="AA8" s="1" t="s">
        <v>26</v>
      </c>
      <c r="AB8" s="1" t="s">
        <v>28</v>
      </c>
      <c r="AC8" s="2">
        <v>0.85</v>
      </c>
      <c r="AD8" s="1" t="s">
        <v>26</v>
      </c>
      <c r="AE8" s="1" t="s">
        <v>28</v>
      </c>
      <c r="AF8" s="2">
        <v>0.85</v>
      </c>
      <c r="AG8" s="1" t="s">
        <v>25</v>
      </c>
      <c r="AH8" s="1" t="s">
        <v>26</v>
      </c>
      <c r="AI8" s="1" t="s">
        <v>28</v>
      </c>
      <c r="AJ8" s="4">
        <v>0.85</v>
      </c>
      <c r="AK8" s="3" t="s">
        <v>4</v>
      </c>
      <c r="AL8" s="1" t="s">
        <v>5</v>
      </c>
      <c r="AM8" s="75" t="s">
        <v>6</v>
      </c>
      <c r="AN8" s="1" t="s">
        <v>32</v>
      </c>
      <c r="AO8" s="1" t="s">
        <v>7</v>
      </c>
      <c r="AP8" s="1" t="s">
        <v>25</v>
      </c>
      <c r="AQ8" s="1" t="s">
        <v>26</v>
      </c>
      <c r="AR8" s="1" t="s">
        <v>28</v>
      </c>
      <c r="AS8" s="2">
        <v>0.85</v>
      </c>
      <c r="AT8" s="1" t="s">
        <v>26</v>
      </c>
      <c r="AU8" s="1" t="s">
        <v>28</v>
      </c>
      <c r="AV8" s="2">
        <v>0.85</v>
      </c>
      <c r="AW8" s="1" t="s">
        <v>25</v>
      </c>
      <c r="AX8" s="1" t="s">
        <v>26</v>
      </c>
      <c r="AY8" s="1" t="s">
        <v>28</v>
      </c>
      <c r="AZ8" s="4">
        <v>0.85</v>
      </c>
    </row>
    <row r="9" spans="1:52" s="148" customFormat="1" ht="22.5" customHeight="1" x14ac:dyDescent="0.3">
      <c r="A9" s="228" t="s">
        <v>22</v>
      </c>
      <c r="B9" s="150" t="s">
        <v>54</v>
      </c>
      <c r="C9" s="149" t="s">
        <v>76</v>
      </c>
      <c r="D9" s="77" t="s">
        <v>79</v>
      </c>
      <c r="E9" s="161">
        <v>17</v>
      </c>
      <c r="F9" s="162">
        <v>75</v>
      </c>
      <c r="G9" s="163">
        <v>5.3571428571428568</v>
      </c>
      <c r="H9" s="162">
        <v>17</v>
      </c>
      <c r="I9" s="162">
        <v>15</v>
      </c>
      <c r="J9" s="162">
        <v>100</v>
      </c>
      <c r="K9" s="164">
        <v>60.313764705882356</v>
      </c>
      <c r="L9" s="164">
        <v>5.6642286690444497</v>
      </c>
      <c r="M9" s="164">
        <v>55.200200000000002</v>
      </c>
      <c r="N9" s="163">
        <v>3.7451176470588234</v>
      </c>
      <c r="O9" s="163">
        <v>0.30759559799046893</v>
      </c>
      <c r="P9" s="163">
        <v>4</v>
      </c>
      <c r="Q9" s="165">
        <v>100</v>
      </c>
      <c r="R9" s="163">
        <v>78.230647058823521</v>
      </c>
      <c r="S9" s="163">
        <v>2.2999569034630913</v>
      </c>
      <c r="T9" s="166">
        <v>75.692400000000006</v>
      </c>
      <c r="U9" s="93"/>
      <c r="V9" s="94"/>
      <c r="W9" s="95"/>
      <c r="X9" s="94"/>
      <c r="Y9" s="94"/>
      <c r="Z9" s="94"/>
      <c r="AA9" s="94"/>
      <c r="AB9" s="94"/>
      <c r="AC9" s="147"/>
      <c r="AD9" s="94"/>
      <c r="AE9" s="94"/>
      <c r="AF9" s="147"/>
      <c r="AG9" s="94"/>
      <c r="AH9" s="94"/>
      <c r="AI9" s="94"/>
      <c r="AJ9" s="154"/>
      <c r="AK9" s="93"/>
      <c r="AL9" s="94"/>
      <c r="AM9" s="95"/>
      <c r="AN9" s="94"/>
      <c r="AO9" s="94"/>
      <c r="AP9" s="94"/>
      <c r="AQ9" s="94"/>
      <c r="AR9" s="94"/>
      <c r="AS9" s="147"/>
      <c r="AT9" s="94"/>
      <c r="AU9" s="94"/>
      <c r="AV9" s="147"/>
      <c r="AW9" s="94"/>
      <c r="AX9" s="94"/>
      <c r="AY9" s="94"/>
      <c r="AZ9" s="154"/>
    </row>
    <row r="10" spans="1:52" ht="22.5" customHeight="1" x14ac:dyDescent="0.3">
      <c r="A10" s="229"/>
      <c r="B10" s="151" t="s">
        <v>14</v>
      </c>
      <c r="C10" s="35"/>
      <c r="D10" s="36"/>
      <c r="E10" s="51"/>
      <c r="F10" s="52"/>
      <c r="G10" s="52"/>
      <c r="H10" s="52"/>
      <c r="I10" s="52"/>
      <c r="J10" s="52"/>
      <c r="K10" s="73"/>
      <c r="L10" s="73"/>
      <c r="M10" s="73"/>
      <c r="N10" s="52"/>
      <c r="O10" s="52"/>
      <c r="P10" s="52"/>
      <c r="Q10" s="167"/>
      <c r="R10" s="52"/>
      <c r="S10" s="52"/>
      <c r="T10" s="168"/>
      <c r="U10" s="48">
        <v>9</v>
      </c>
      <c r="V10" s="49">
        <v>51</v>
      </c>
      <c r="W10" s="50">
        <v>5.666666666666667</v>
      </c>
      <c r="X10" s="49">
        <v>8</v>
      </c>
      <c r="Y10" s="49">
        <v>13</v>
      </c>
      <c r="Z10" s="49">
        <v>100</v>
      </c>
      <c r="AA10" s="72">
        <v>64.791666666666671</v>
      </c>
      <c r="AB10" s="72">
        <v>3.9893521473485825</v>
      </c>
      <c r="AC10" s="72">
        <v>62.133333333333333</v>
      </c>
      <c r="AD10" s="50">
        <v>3.5417500000000004</v>
      </c>
      <c r="AE10" s="50">
        <v>0.28578608696015728</v>
      </c>
      <c r="AF10" s="50">
        <v>3.6669999999999998</v>
      </c>
      <c r="AG10" s="49">
        <v>100</v>
      </c>
      <c r="AH10" s="49">
        <v>82.118124999999992</v>
      </c>
      <c r="AI10" s="50">
        <v>2.2298541677375177</v>
      </c>
      <c r="AJ10" s="155">
        <v>79.578000000000003</v>
      </c>
      <c r="AK10" s="48">
        <v>15</v>
      </c>
      <c r="AL10" s="49">
        <v>54</v>
      </c>
      <c r="AM10" s="50">
        <v>3.8571428571428572</v>
      </c>
      <c r="AN10" s="49">
        <v>15</v>
      </c>
      <c r="AO10" s="49">
        <v>10</v>
      </c>
      <c r="AP10" s="49">
        <v>100</v>
      </c>
      <c r="AQ10" s="177">
        <v>61.511111111111113</v>
      </c>
      <c r="AR10" s="177">
        <v>5.6343742189799668</v>
      </c>
      <c r="AS10" s="177">
        <v>55.56666666666667</v>
      </c>
      <c r="AT10" s="50">
        <v>3.8222</v>
      </c>
      <c r="AU10" s="50">
        <v>0.43648660918749893</v>
      </c>
      <c r="AV10" s="50">
        <v>4.3330000000000002</v>
      </c>
      <c r="AW10" s="49">
        <v>100</v>
      </c>
      <c r="AX10" s="49">
        <v>78.97</v>
      </c>
      <c r="AY10" s="50">
        <v>3.7655840627096144</v>
      </c>
      <c r="AZ10" s="155">
        <v>75.817999999999998</v>
      </c>
    </row>
    <row r="11" spans="1:52" ht="22.5" customHeight="1" x14ac:dyDescent="0.3">
      <c r="A11" s="229"/>
      <c r="B11" s="151" t="s">
        <v>16</v>
      </c>
      <c r="C11" s="35"/>
      <c r="D11" s="36"/>
      <c r="E11" s="51"/>
      <c r="F11" s="52"/>
      <c r="G11" s="52"/>
      <c r="H11" s="52"/>
      <c r="I11" s="52"/>
      <c r="J11" s="52"/>
      <c r="K11" s="73"/>
      <c r="L11" s="73"/>
      <c r="M11" s="73"/>
      <c r="N11" s="52"/>
      <c r="O11" s="52"/>
      <c r="P11" s="52"/>
      <c r="Q11" s="167"/>
      <c r="R11" s="52"/>
      <c r="S11" s="52"/>
      <c r="T11" s="168"/>
      <c r="U11" s="48">
        <v>11</v>
      </c>
      <c r="V11" s="49">
        <v>71</v>
      </c>
      <c r="W11" s="50">
        <v>6.4545454545454541</v>
      </c>
      <c r="X11" s="49">
        <v>10</v>
      </c>
      <c r="Y11" s="49">
        <v>10</v>
      </c>
      <c r="Z11" s="49">
        <v>100</v>
      </c>
      <c r="AA11" s="72">
        <v>62.36666666666666</v>
      </c>
      <c r="AB11" s="72">
        <v>5.2227068333065434</v>
      </c>
      <c r="AC11" s="72">
        <v>57.833333333333329</v>
      </c>
      <c r="AD11" s="50">
        <v>3.8665999999999996</v>
      </c>
      <c r="AE11" s="50">
        <v>0.33990857594359702</v>
      </c>
      <c r="AF11" s="50">
        <v>4.21645</v>
      </c>
      <c r="AG11" s="49">
        <v>100</v>
      </c>
      <c r="AH11" s="49">
        <v>79.291000000000011</v>
      </c>
      <c r="AI11" s="50">
        <v>1.5669090592626018</v>
      </c>
      <c r="AJ11" s="155">
        <v>77.794000000000011</v>
      </c>
      <c r="AK11" s="48">
        <v>21</v>
      </c>
      <c r="AL11" s="49">
        <v>93</v>
      </c>
      <c r="AM11" s="50">
        <v>4.4285714285714288</v>
      </c>
      <c r="AN11" s="49">
        <v>21</v>
      </c>
      <c r="AO11" s="49">
        <v>6</v>
      </c>
      <c r="AP11" s="49">
        <v>100</v>
      </c>
      <c r="AQ11" s="177">
        <v>53.444444444444443</v>
      </c>
      <c r="AR11" s="177">
        <v>6.2227890898244453</v>
      </c>
      <c r="AS11" s="177">
        <v>45.333333333333336</v>
      </c>
      <c r="AT11" s="50">
        <v>4.1110952380952384</v>
      </c>
      <c r="AU11" s="50">
        <v>0.42830628835448509</v>
      </c>
      <c r="AV11" s="50">
        <v>4.6669999999999998</v>
      </c>
      <c r="AW11" s="49">
        <v>100</v>
      </c>
      <c r="AX11" s="49">
        <v>72.239047619047625</v>
      </c>
      <c r="AY11" s="50">
        <v>3.174986171341212</v>
      </c>
      <c r="AZ11" s="155">
        <v>69.44</v>
      </c>
    </row>
    <row r="12" spans="1:52" ht="22.5" customHeight="1" x14ac:dyDescent="0.3">
      <c r="A12" s="229"/>
      <c r="B12" s="151" t="s">
        <v>19</v>
      </c>
      <c r="C12" s="35"/>
      <c r="D12" s="36"/>
      <c r="E12" s="51"/>
      <c r="F12" s="52"/>
      <c r="G12" s="52"/>
      <c r="H12" s="52"/>
      <c r="I12" s="52"/>
      <c r="J12" s="52"/>
      <c r="K12" s="73"/>
      <c r="L12" s="73"/>
      <c r="M12" s="73"/>
      <c r="N12" s="52"/>
      <c r="O12" s="52"/>
      <c r="P12" s="52"/>
      <c r="Q12" s="167"/>
      <c r="R12" s="52"/>
      <c r="S12" s="52"/>
      <c r="T12" s="168"/>
      <c r="U12" s="48">
        <v>14</v>
      </c>
      <c r="V12" s="49">
        <v>65</v>
      </c>
      <c r="W12" s="50">
        <v>4.6428571428571432</v>
      </c>
      <c r="X12" s="49">
        <v>14</v>
      </c>
      <c r="Y12" s="49">
        <v>15</v>
      </c>
      <c r="Z12" s="49">
        <v>100</v>
      </c>
      <c r="AA12" s="72">
        <v>56.785714285714278</v>
      </c>
      <c r="AB12" s="72">
        <v>3.9733380130549905</v>
      </c>
      <c r="AC12" s="72">
        <v>52.966666666666669</v>
      </c>
      <c r="AD12" s="50">
        <v>3.9285714285714284</v>
      </c>
      <c r="AE12" s="50">
        <v>0.40189190342779635</v>
      </c>
      <c r="AF12" s="50">
        <v>4.3330000000000002</v>
      </c>
      <c r="AG12" s="49">
        <v>100</v>
      </c>
      <c r="AH12" s="49">
        <v>76.118571428571428</v>
      </c>
      <c r="AI12" s="50">
        <v>2.2333890235716143</v>
      </c>
      <c r="AJ12" s="155">
        <v>73.938999999999993</v>
      </c>
      <c r="AK12" s="48">
        <v>13</v>
      </c>
      <c r="AL12" s="49">
        <v>54</v>
      </c>
      <c r="AM12" s="50">
        <v>4.1538461538461542</v>
      </c>
      <c r="AN12" s="49">
        <v>13</v>
      </c>
      <c r="AO12" s="49">
        <v>3</v>
      </c>
      <c r="AP12" s="49">
        <v>100</v>
      </c>
      <c r="AQ12" s="177">
        <v>56.051282051282058</v>
      </c>
      <c r="AR12" s="177">
        <v>5.0566807021864379</v>
      </c>
      <c r="AS12" s="177">
        <v>50.866666666666667</v>
      </c>
      <c r="AT12" s="50">
        <v>4.1280769230769225</v>
      </c>
      <c r="AU12" s="50">
        <v>0.27825430027460041</v>
      </c>
      <c r="AV12" s="50">
        <v>4.3330000000000002</v>
      </c>
      <c r="AW12" s="49">
        <v>100</v>
      </c>
      <c r="AX12" s="49">
        <v>72.303461538461534</v>
      </c>
      <c r="AY12" s="50">
        <v>2.3387746500906279</v>
      </c>
      <c r="AZ12" s="155">
        <v>69.915999999999997</v>
      </c>
    </row>
    <row r="13" spans="1:52" s="148" customFormat="1" ht="22.5" customHeight="1" x14ac:dyDescent="0.3">
      <c r="A13" s="229"/>
      <c r="B13" s="150" t="s">
        <v>55</v>
      </c>
      <c r="C13" s="149" t="s">
        <v>76</v>
      </c>
      <c r="D13" s="77" t="s">
        <v>80</v>
      </c>
      <c r="E13" s="161">
        <v>29</v>
      </c>
      <c r="F13" s="162">
        <v>106</v>
      </c>
      <c r="G13" s="163">
        <v>3.925925925925926</v>
      </c>
      <c r="H13" s="162">
        <v>27</v>
      </c>
      <c r="I13" s="162">
        <v>27</v>
      </c>
      <c r="J13" s="162">
        <v>100</v>
      </c>
      <c r="K13" s="164">
        <v>63.777814814814803</v>
      </c>
      <c r="L13" s="164">
        <v>3.7416200000758448</v>
      </c>
      <c r="M13" s="164">
        <v>60.600300000000004</v>
      </c>
      <c r="N13" s="163">
        <v>3.506148148148148</v>
      </c>
      <c r="O13" s="163">
        <v>0.39712400581495078</v>
      </c>
      <c r="P13" s="163">
        <v>4</v>
      </c>
      <c r="Q13" s="165">
        <v>100</v>
      </c>
      <c r="R13" s="163">
        <v>83.201629629629622</v>
      </c>
      <c r="S13" s="163">
        <v>2.1607518092884392</v>
      </c>
      <c r="T13" s="166">
        <v>81.547399999999996</v>
      </c>
      <c r="U13" s="93"/>
      <c r="V13" s="94"/>
      <c r="W13" s="95"/>
      <c r="X13" s="94"/>
      <c r="Y13" s="94"/>
      <c r="Z13" s="94"/>
      <c r="AA13" s="94"/>
      <c r="AB13" s="94"/>
      <c r="AC13" s="147"/>
      <c r="AD13" s="94"/>
      <c r="AE13" s="94"/>
      <c r="AF13" s="147"/>
      <c r="AG13" s="94"/>
      <c r="AH13" s="94"/>
      <c r="AI13" s="94"/>
      <c r="AJ13" s="154"/>
      <c r="AK13" s="93"/>
      <c r="AL13" s="94"/>
      <c r="AM13" s="95"/>
      <c r="AN13" s="94"/>
      <c r="AO13" s="94"/>
      <c r="AP13" s="94"/>
      <c r="AQ13" s="178"/>
      <c r="AR13" s="178"/>
      <c r="AS13" s="178"/>
      <c r="AT13" s="94"/>
      <c r="AU13" s="94"/>
      <c r="AV13" s="147"/>
      <c r="AW13" s="94"/>
      <c r="AX13" s="94"/>
      <c r="AY13" s="94"/>
      <c r="AZ13" s="154"/>
    </row>
    <row r="14" spans="1:52" ht="22.5" customHeight="1" x14ac:dyDescent="0.3">
      <c r="A14" s="229"/>
      <c r="B14" s="151" t="s">
        <v>12</v>
      </c>
      <c r="C14" s="35"/>
      <c r="D14" s="36"/>
      <c r="E14" s="51"/>
      <c r="F14" s="52"/>
      <c r="G14" s="52"/>
      <c r="H14" s="52"/>
      <c r="I14" s="52"/>
      <c r="J14" s="52"/>
      <c r="K14" s="73"/>
      <c r="L14" s="73"/>
      <c r="M14" s="73"/>
      <c r="N14" s="52"/>
      <c r="O14" s="52"/>
      <c r="P14" s="52"/>
      <c r="Q14" s="167"/>
      <c r="R14" s="52"/>
      <c r="S14" s="52"/>
      <c r="T14" s="168"/>
      <c r="U14" s="48">
        <v>20</v>
      </c>
      <c r="V14" s="49">
        <v>87</v>
      </c>
      <c r="W14" s="50">
        <v>4.3499999999999996</v>
      </c>
      <c r="X14" s="49">
        <v>20</v>
      </c>
      <c r="Y14" s="49">
        <v>31</v>
      </c>
      <c r="Z14" s="49">
        <v>100</v>
      </c>
      <c r="AA14" s="72">
        <v>65.283333333333331</v>
      </c>
      <c r="AB14" s="72">
        <v>5.2591454734692791</v>
      </c>
      <c r="AC14" s="72">
        <v>59.516666666666666</v>
      </c>
      <c r="AD14" s="50">
        <v>3.5832499999999996</v>
      </c>
      <c r="AE14" s="50">
        <v>0.37826734923860766</v>
      </c>
      <c r="AF14" s="50">
        <v>4</v>
      </c>
      <c r="AG14" s="49">
        <v>100</v>
      </c>
      <c r="AH14" s="49">
        <v>83.22475</v>
      </c>
      <c r="AI14" s="50">
        <v>2.5833236706809699</v>
      </c>
      <c r="AJ14" s="155">
        <v>80.563500000000005</v>
      </c>
      <c r="AK14" s="48">
        <v>24</v>
      </c>
      <c r="AL14" s="49">
        <v>140</v>
      </c>
      <c r="AM14" s="50">
        <v>5.833333333333333</v>
      </c>
      <c r="AN14" s="49">
        <v>23</v>
      </c>
      <c r="AO14" s="49">
        <v>32</v>
      </c>
      <c r="AP14" s="49">
        <v>100</v>
      </c>
      <c r="AQ14" s="177">
        <v>62.855072463768117</v>
      </c>
      <c r="AR14" s="177">
        <v>3.7024943765353004</v>
      </c>
      <c r="AS14" s="177">
        <v>59.433333333333337</v>
      </c>
      <c r="AT14" s="50">
        <v>3.5798260869565217</v>
      </c>
      <c r="AU14" s="50">
        <v>0.22469489500478149</v>
      </c>
      <c r="AV14" s="50">
        <v>3.6669999999999998</v>
      </c>
      <c r="AW14" s="49">
        <v>100</v>
      </c>
      <c r="AX14" s="49">
        <v>81.757826086956513</v>
      </c>
      <c r="AY14" s="50">
        <v>1.5193096444901912</v>
      </c>
      <c r="AZ14" s="155">
        <v>80.091499999999996</v>
      </c>
    </row>
    <row r="15" spans="1:52" ht="22.5" customHeight="1" x14ac:dyDescent="0.3">
      <c r="A15" s="229"/>
      <c r="B15" s="151" t="s">
        <v>13</v>
      </c>
      <c r="C15" s="35"/>
      <c r="D15" s="36"/>
      <c r="E15" s="51"/>
      <c r="F15" s="52"/>
      <c r="G15" s="52"/>
      <c r="H15" s="52"/>
      <c r="I15" s="52"/>
      <c r="J15" s="52"/>
      <c r="K15" s="73"/>
      <c r="L15" s="73"/>
      <c r="M15" s="73"/>
      <c r="N15" s="52"/>
      <c r="O15" s="52"/>
      <c r="P15" s="52"/>
      <c r="Q15" s="167"/>
      <c r="R15" s="52"/>
      <c r="S15" s="52"/>
      <c r="T15" s="168"/>
      <c r="U15" s="51"/>
      <c r="V15" s="52"/>
      <c r="W15" s="53"/>
      <c r="X15" s="52"/>
      <c r="Y15" s="52"/>
      <c r="Z15" s="52"/>
      <c r="AA15" s="73"/>
      <c r="AB15" s="73"/>
      <c r="AC15" s="73"/>
      <c r="AD15" s="53"/>
      <c r="AE15" s="53"/>
      <c r="AF15" s="53"/>
      <c r="AG15" s="52"/>
      <c r="AH15" s="52"/>
      <c r="AI15" s="53"/>
      <c r="AJ15" s="156"/>
      <c r="AK15" s="48">
        <v>15</v>
      </c>
      <c r="AL15" s="49">
        <v>84</v>
      </c>
      <c r="AM15" s="50">
        <v>5.6</v>
      </c>
      <c r="AN15" s="49">
        <v>15</v>
      </c>
      <c r="AO15" s="49">
        <v>8</v>
      </c>
      <c r="AP15" s="49">
        <v>100</v>
      </c>
      <c r="AQ15" s="177">
        <v>62.1111111111111</v>
      </c>
      <c r="AR15" s="177">
        <v>5.2163087085803337</v>
      </c>
      <c r="AS15" s="177">
        <v>56.033333333333331</v>
      </c>
      <c r="AT15" s="50">
        <v>3.7777333333333329</v>
      </c>
      <c r="AU15" s="50">
        <v>0.35835707828303959</v>
      </c>
      <c r="AV15" s="50">
        <v>4</v>
      </c>
      <c r="AW15" s="49">
        <v>100</v>
      </c>
      <c r="AX15" s="49">
        <v>79.318666666666644</v>
      </c>
      <c r="AY15" s="50">
        <v>2.2301983967554713</v>
      </c>
      <c r="AZ15" s="155">
        <v>77.655000000000001</v>
      </c>
    </row>
    <row r="16" spans="1:52" ht="22.5" customHeight="1" x14ac:dyDescent="0.3">
      <c r="A16" s="229"/>
      <c r="B16" s="151" t="s">
        <v>48</v>
      </c>
      <c r="C16" s="35"/>
      <c r="D16" s="36"/>
      <c r="E16" s="51"/>
      <c r="F16" s="52"/>
      <c r="G16" s="52"/>
      <c r="H16" s="52"/>
      <c r="I16" s="52"/>
      <c r="J16" s="52"/>
      <c r="K16" s="73"/>
      <c r="L16" s="73"/>
      <c r="M16" s="73"/>
      <c r="N16" s="52"/>
      <c r="O16" s="52"/>
      <c r="P16" s="52"/>
      <c r="Q16" s="167"/>
      <c r="R16" s="52"/>
      <c r="S16" s="52"/>
      <c r="T16" s="168"/>
      <c r="U16" s="48">
        <v>34</v>
      </c>
      <c r="V16" s="49">
        <v>140</v>
      </c>
      <c r="W16" s="50">
        <v>4.117647058823529</v>
      </c>
      <c r="X16" s="49">
        <v>33</v>
      </c>
      <c r="Y16" s="49">
        <v>34</v>
      </c>
      <c r="Z16" s="49">
        <v>100</v>
      </c>
      <c r="AA16" s="72">
        <v>64.383838383838395</v>
      </c>
      <c r="AB16" s="72">
        <v>5.1017401217794909</v>
      </c>
      <c r="AC16" s="72">
        <v>58.6</v>
      </c>
      <c r="AD16" s="50">
        <v>3.6666666666666665</v>
      </c>
      <c r="AE16" s="50">
        <v>0.35773332429776528</v>
      </c>
      <c r="AF16" s="50">
        <v>4</v>
      </c>
      <c r="AG16" s="49">
        <v>100</v>
      </c>
      <c r="AH16" s="49">
        <v>80.962575757575749</v>
      </c>
      <c r="AI16" s="50">
        <v>2.0355738232044951</v>
      </c>
      <c r="AJ16" s="155">
        <v>79.015999999999991</v>
      </c>
      <c r="AK16" s="48">
        <v>41</v>
      </c>
      <c r="AL16" s="49">
        <v>147</v>
      </c>
      <c r="AM16" s="50">
        <v>3.6749999999999998</v>
      </c>
      <c r="AN16" s="49">
        <v>40</v>
      </c>
      <c r="AO16" s="49">
        <v>12</v>
      </c>
      <c r="AP16" s="49">
        <v>100</v>
      </c>
      <c r="AQ16" s="177">
        <v>58.866666666666674</v>
      </c>
      <c r="AR16" s="177">
        <v>5.8432297005451153</v>
      </c>
      <c r="AS16" s="177">
        <v>54.283333333333339</v>
      </c>
      <c r="AT16" s="50">
        <v>3.84165</v>
      </c>
      <c r="AU16" s="50">
        <v>0.33326300049660618</v>
      </c>
      <c r="AV16" s="50">
        <v>4</v>
      </c>
      <c r="AW16" s="49">
        <v>100</v>
      </c>
      <c r="AX16" s="49">
        <v>77.410624999999982</v>
      </c>
      <c r="AY16" s="50">
        <v>2.6087749010555035</v>
      </c>
      <c r="AZ16" s="155">
        <v>74.956999999999994</v>
      </c>
    </row>
    <row r="17" spans="1:52" s="148" customFormat="1" ht="22.5" customHeight="1" x14ac:dyDescent="0.3">
      <c r="A17" s="229"/>
      <c r="B17" s="150" t="s">
        <v>56</v>
      </c>
      <c r="C17" s="149" t="s">
        <v>76</v>
      </c>
      <c r="D17" s="77" t="s">
        <v>79</v>
      </c>
      <c r="E17" s="161">
        <v>26</v>
      </c>
      <c r="F17" s="162">
        <v>94</v>
      </c>
      <c r="G17" s="163">
        <v>3.76</v>
      </c>
      <c r="H17" s="162">
        <v>26</v>
      </c>
      <c r="I17" s="162">
        <v>26</v>
      </c>
      <c r="J17" s="162">
        <v>100</v>
      </c>
      <c r="K17" s="164">
        <v>60.987230769230777</v>
      </c>
      <c r="L17" s="164">
        <v>6.3747344035634743</v>
      </c>
      <c r="M17" s="164">
        <v>54.500250000000001</v>
      </c>
      <c r="N17" s="163">
        <v>3.7692692307692308</v>
      </c>
      <c r="O17" s="163">
        <v>0.39270342032042571</v>
      </c>
      <c r="P17" s="163">
        <v>4</v>
      </c>
      <c r="Q17" s="165">
        <v>100</v>
      </c>
      <c r="R17" s="163">
        <v>80.593384615384608</v>
      </c>
      <c r="S17" s="163">
        <v>1.9207857582235874</v>
      </c>
      <c r="T17" s="166">
        <v>78.305750000000003</v>
      </c>
      <c r="U17" s="48">
        <v>31</v>
      </c>
      <c r="V17" s="49">
        <v>120</v>
      </c>
      <c r="W17" s="50">
        <v>3.870967741935484</v>
      </c>
      <c r="X17" s="49">
        <v>31</v>
      </c>
      <c r="Y17" s="49">
        <v>31</v>
      </c>
      <c r="Z17" s="49">
        <v>100</v>
      </c>
      <c r="AA17" s="72">
        <v>63.516129032258057</v>
      </c>
      <c r="AB17" s="72">
        <v>5.2825802249291698</v>
      </c>
      <c r="AC17" s="72">
        <v>59</v>
      </c>
      <c r="AD17" s="50">
        <v>3.6452258064516134</v>
      </c>
      <c r="AE17" s="50">
        <v>0.3045754008745532</v>
      </c>
      <c r="AF17" s="50">
        <v>4</v>
      </c>
      <c r="AG17" s="49">
        <v>100</v>
      </c>
      <c r="AH17" s="49">
        <v>80.497903225806425</v>
      </c>
      <c r="AI17" s="50">
        <v>1.9161098755433632</v>
      </c>
      <c r="AJ17" s="155">
        <v>78.665000000000006</v>
      </c>
      <c r="AK17" s="51"/>
      <c r="AL17" s="52"/>
      <c r="AM17" s="53"/>
      <c r="AN17" s="52"/>
      <c r="AO17" s="52"/>
      <c r="AP17" s="52"/>
      <c r="AQ17" s="179"/>
      <c r="AR17" s="179"/>
      <c r="AS17" s="179"/>
      <c r="AT17" s="53"/>
      <c r="AU17" s="53"/>
      <c r="AV17" s="53"/>
      <c r="AW17" s="52"/>
      <c r="AX17" s="52"/>
      <c r="AY17" s="53"/>
      <c r="AZ17" s="156"/>
    </row>
    <row r="18" spans="1:52" s="148" customFormat="1" ht="22.5" customHeight="1" x14ac:dyDescent="0.3">
      <c r="A18" s="229"/>
      <c r="B18" s="150" t="s">
        <v>57</v>
      </c>
      <c r="C18" s="149" t="s">
        <v>76</v>
      </c>
      <c r="D18" s="77" t="s">
        <v>80</v>
      </c>
      <c r="E18" s="161">
        <v>24</v>
      </c>
      <c r="F18" s="162">
        <v>105</v>
      </c>
      <c r="G18" s="163">
        <v>4.7727272727272725</v>
      </c>
      <c r="H18" s="162">
        <v>24</v>
      </c>
      <c r="I18" s="162">
        <v>23</v>
      </c>
      <c r="J18" s="162">
        <v>100</v>
      </c>
      <c r="K18" s="164">
        <v>61.458333333333343</v>
      </c>
      <c r="L18" s="164">
        <v>5.7973353625225368</v>
      </c>
      <c r="M18" s="164">
        <v>54.966700000000003</v>
      </c>
      <c r="N18" s="163">
        <v>3.9167083333333337</v>
      </c>
      <c r="O18" s="163">
        <v>0.37842045390088991</v>
      </c>
      <c r="P18" s="163">
        <v>4.1831500000000004</v>
      </c>
      <c r="Q18" s="165">
        <v>100</v>
      </c>
      <c r="R18" s="163">
        <v>78.774375000000006</v>
      </c>
      <c r="S18" s="163">
        <v>1.5375745459565995</v>
      </c>
      <c r="T18" s="166">
        <v>76.978350000000006</v>
      </c>
      <c r="U18" s="93"/>
      <c r="V18" s="94"/>
      <c r="W18" s="95"/>
      <c r="X18" s="94"/>
      <c r="Y18" s="94"/>
      <c r="Z18" s="94"/>
      <c r="AA18" s="94"/>
      <c r="AB18" s="94"/>
      <c r="AC18" s="147"/>
      <c r="AD18" s="94"/>
      <c r="AE18" s="94"/>
      <c r="AF18" s="147"/>
      <c r="AG18" s="94"/>
      <c r="AH18" s="94"/>
      <c r="AI18" s="94"/>
      <c r="AJ18" s="154"/>
      <c r="AK18" s="93"/>
      <c r="AL18" s="94"/>
      <c r="AM18" s="95"/>
      <c r="AN18" s="94"/>
      <c r="AO18" s="94"/>
      <c r="AP18" s="94"/>
      <c r="AQ18" s="178"/>
      <c r="AR18" s="178"/>
      <c r="AS18" s="178"/>
      <c r="AT18" s="94"/>
      <c r="AU18" s="94"/>
      <c r="AV18" s="147"/>
      <c r="AW18" s="94"/>
      <c r="AX18" s="94"/>
      <c r="AY18" s="94"/>
      <c r="AZ18" s="154"/>
    </row>
    <row r="19" spans="1:52" ht="22.5" customHeight="1" x14ac:dyDescent="0.3">
      <c r="A19" s="229"/>
      <c r="B19" s="151" t="s">
        <v>50</v>
      </c>
      <c r="C19" s="35"/>
      <c r="D19" s="36"/>
      <c r="E19" s="51"/>
      <c r="F19" s="52"/>
      <c r="G19" s="52"/>
      <c r="H19" s="52"/>
      <c r="I19" s="52"/>
      <c r="J19" s="52"/>
      <c r="K19" s="73"/>
      <c r="L19" s="73"/>
      <c r="M19" s="73"/>
      <c r="N19" s="52"/>
      <c r="O19" s="52"/>
      <c r="P19" s="52"/>
      <c r="Q19" s="167"/>
      <c r="R19" s="52"/>
      <c r="S19" s="52"/>
      <c r="T19" s="168"/>
      <c r="U19" s="48">
        <v>35</v>
      </c>
      <c r="V19" s="49">
        <v>121</v>
      </c>
      <c r="W19" s="50">
        <v>3.5588235294117645</v>
      </c>
      <c r="X19" s="49">
        <v>35</v>
      </c>
      <c r="Y19" s="49">
        <v>37</v>
      </c>
      <c r="Z19" s="49">
        <v>100</v>
      </c>
      <c r="AA19" s="72">
        <v>60.019047619047612</v>
      </c>
      <c r="AB19" s="72">
        <v>6.3899439136782972</v>
      </c>
      <c r="AC19" s="72">
        <v>53.4</v>
      </c>
      <c r="AD19" s="50">
        <v>3.9238571428571429</v>
      </c>
      <c r="AE19" s="50">
        <v>0.28814531481351474</v>
      </c>
      <c r="AF19" s="50">
        <v>4.2996999999999996</v>
      </c>
      <c r="AG19" s="49">
        <v>100</v>
      </c>
      <c r="AH19" s="49">
        <v>77.510857142857162</v>
      </c>
      <c r="AI19" s="50">
        <v>2.4499033466975</v>
      </c>
      <c r="AJ19" s="155">
        <v>74.585000000000008</v>
      </c>
      <c r="AK19" s="48">
        <v>26</v>
      </c>
      <c r="AL19" s="49">
        <v>88</v>
      </c>
      <c r="AM19" s="50">
        <v>3.6666666666666665</v>
      </c>
      <c r="AN19" s="49">
        <v>26</v>
      </c>
      <c r="AO19" s="49">
        <v>14</v>
      </c>
      <c r="AP19" s="49">
        <v>100</v>
      </c>
      <c r="AQ19" s="177">
        <v>57.705128205128212</v>
      </c>
      <c r="AR19" s="177">
        <v>4.3287223229694858</v>
      </c>
      <c r="AS19" s="177">
        <v>52.583333333333329</v>
      </c>
      <c r="AT19" s="50">
        <v>3.9743846153846154</v>
      </c>
      <c r="AU19" s="50">
        <v>0.33232202604414085</v>
      </c>
      <c r="AV19" s="50">
        <v>4.3330000000000002</v>
      </c>
      <c r="AW19" s="49">
        <v>100</v>
      </c>
      <c r="AX19" s="49">
        <v>73.988653846153838</v>
      </c>
      <c r="AY19" s="50">
        <v>1.3102558159595532</v>
      </c>
      <c r="AZ19" s="155">
        <v>72.67</v>
      </c>
    </row>
    <row r="20" spans="1:52" ht="22.5" customHeight="1" x14ac:dyDescent="0.3">
      <c r="A20" s="229"/>
      <c r="B20" s="151" t="s">
        <v>21</v>
      </c>
      <c r="C20" s="35"/>
      <c r="D20" s="36"/>
      <c r="E20" s="51"/>
      <c r="F20" s="52"/>
      <c r="G20" s="52"/>
      <c r="H20" s="52"/>
      <c r="I20" s="52"/>
      <c r="J20" s="52"/>
      <c r="K20" s="73"/>
      <c r="L20" s="73"/>
      <c r="M20" s="73"/>
      <c r="N20" s="52"/>
      <c r="O20" s="52"/>
      <c r="P20" s="52"/>
      <c r="Q20" s="167"/>
      <c r="R20" s="52"/>
      <c r="S20" s="52"/>
      <c r="T20" s="168"/>
      <c r="U20" s="48">
        <v>18</v>
      </c>
      <c r="V20" s="49">
        <v>87</v>
      </c>
      <c r="W20" s="50">
        <v>4.833333333333333</v>
      </c>
      <c r="X20" s="49">
        <v>17</v>
      </c>
      <c r="Y20" s="49">
        <v>23</v>
      </c>
      <c r="Z20" s="49">
        <v>100</v>
      </c>
      <c r="AA20" s="72">
        <v>60.941176470588232</v>
      </c>
      <c r="AB20" s="72">
        <v>5.8244866183682689</v>
      </c>
      <c r="AC20" s="72">
        <v>54.8</v>
      </c>
      <c r="AD20" s="50">
        <v>3.8235294117647061</v>
      </c>
      <c r="AE20" s="50">
        <v>0.36359950780511763</v>
      </c>
      <c r="AF20" s="50">
        <v>4.1997999999999998</v>
      </c>
      <c r="AG20" s="49">
        <v>100</v>
      </c>
      <c r="AH20" s="49">
        <v>78.895588235294113</v>
      </c>
      <c r="AI20" s="50">
        <v>1.8345947479689964</v>
      </c>
      <c r="AJ20" s="155">
        <v>76.608000000000004</v>
      </c>
      <c r="AK20" s="48">
        <v>17</v>
      </c>
      <c r="AL20" s="49">
        <v>67</v>
      </c>
      <c r="AM20" s="50">
        <v>3.9411764705882355</v>
      </c>
      <c r="AN20" s="49">
        <v>17</v>
      </c>
      <c r="AO20" s="49">
        <v>9</v>
      </c>
      <c r="AP20" s="49">
        <v>100</v>
      </c>
      <c r="AQ20" s="177">
        <v>53.980392156862742</v>
      </c>
      <c r="AR20" s="177">
        <v>6.1638526576139929</v>
      </c>
      <c r="AS20" s="177">
        <v>48.93333333333333</v>
      </c>
      <c r="AT20" s="50">
        <v>4.0784705882352945</v>
      </c>
      <c r="AU20" s="50">
        <v>0.43588910052727359</v>
      </c>
      <c r="AV20" s="50">
        <v>4.6669999999999998</v>
      </c>
      <c r="AW20" s="49">
        <v>100</v>
      </c>
      <c r="AX20" s="49">
        <v>73.486764705882365</v>
      </c>
      <c r="AY20" s="50">
        <v>3.236907084555813</v>
      </c>
      <c r="AZ20" s="155">
        <v>70.304000000000002</v>
      </c>
    </row>
    <row r="21" spans="1:52" s="148" customFormat="1" ht="22.5" customHeight="1" x14ac:dyDescent="0.3">
      <c r="A21" s="229"/>
      <c r="B21" s="150" t="s">
        <v>58</v>
      </c>
      <c r="C21" s="149" t="s">
        <v>76</v>
      </c>
      <c r="D21" s="77" t="s">
        <v>80</v>
      </c>
      <c r="E21" s="161">
        <v>41</v>
      </c>
      <c r="F21" s="162">
        <v>169</v>
      </c>
      <c r="G21" s="163">
        <v>4.4473684210526319</v>
      </c>
      <c r="H21" s="162">
        <v>41</v>
      </c>
      <c r="I21" s="162">
        <v>37</v>
      </c>
      <c r="J21" s="162">
        <v>100</v>
      </c>
      <c r="K21" s="164">
        <v>60.349609756097571</v>
      </c>
      <c r="L21" s="164">
        <v>4.7128781267875777</v>
      </c>
      <c r="M21" s="164">
        <v>54.667000000000002</v>
      </c>
      <c r="N21" s="163">
        <v>3.8131219512195127</v>
      </c>
      <c r="O21" s="163">
        <v>0.28035521786762557</v>
      </c>
      <c r="P21" s="163">
        <v>4</v>
      </c>
      <c r="Q21" s="165">
        <v>100</v>
      </c>
      <c r="R21" s="163">
        <v>78.558560975609737</v>
      </c>
      <c r="S21" s="163">
        <v>1.6839167473891898</v>
      </c>
      <c r="T21" s="166">
        <v>77.19</v>
      </c>
      <c r="U21" s="93"/>
      <c r="V21" s="94"/>
      <c r="W21" s="95"/>
      <c r="X21" s="94"/>
      <c r="Y21" s="94"/>
      <c r="Z21" s="94"/>
      <c r="AA21" s="94"/>
      <c r="AB21" s="94"/>
      <c r="AC21" s="147"/>
      <c r="AD21" s="94"/>
      <c r="AE21" s="94"/>
      <c r="AF21" s="147"/>
      <c r="AG21" s="94"/>
      <c r="AH21" s="94"/>
      <c r="AI21" s="94"/>
      <c r="AJ21" s="154"/>
      <c r="AK21" s="93"/>
      <c r="AL21" s="94"/>
      <c r="AM21" s="95"/>
      <c r="AN21" s="94"/>
      <c r="AO21" s="94"/>
      <c r="AP21" s="94"/>
      <c r="AQ21" s="178"/>
      <c r="AR21" s="178"/>
      <c r="AS21" s="178"/>
      <c r="AT21" s="94"/>
      <c r="AU21" s="94"/>
      <c r="AV21" s="147"/>
      <c r="AW21" s="94"/>
      <c r="AX21" s="94"/>
      <c r="AY21" s="94"/>
      <c r="AZ21" s="154"/>
    </row>
    <row r="22" spans="1:52" ht="22.5" customHeight="1" x14ac:dyDescent="0.3">
      <c r="A22" s="229"/>
      <c r="B22" s="151" t="s">
        <v>35</v>
      </c>
      <c r="C22" s="35"/>
      <c r="D22" s="36"/>
      <c r="E22" s="51"/>
      <c r="F22" s="52"/>
      <c r="G22" s="52"/>
      <c r="H22" s="52"/>
      <c r="I22" s="52"/>
      <c r="J22" s="52"/>
      <c r="K22" s="73"/>
      <c r="L22" s="73"/>
      <c r="M22" s="73"/>
      <c r="N22" s="52"/>
      <c r="O22" s="52"/>
      <c r="P22" s="52"/>
      <c r="Q22" s="167"/>
      <c r="R22" s="52"/>
      <c r="S22" s="52"/>
      <c r="T22" s="168"/>
      <c r="U22" s="48">
        <v>11</v>
      </c>
      <c r="V22" s="49">
        <v>37</v>
      </c>
      <c r="W22" s="50">
        <v>3.3636363636363638</v>
      </c>
      <c r="X22" s="49">
        <v>10</v>
      </c>
      <c r="Y22" s="49">
        <v>18</v>
      </c>
      <c r="Z22" s="49">
        <v>100</v>
      </c>
      <c r="AA22" s="72">
        <v>53.766666666666673</v>
      </c>
      <c r="AB22" s="72">
        <v>9.3595465227280155</v>
      </c>
      <c r="AC22" s="72">
        <v>45</v>
      </c>
      <c r="AD22" s="50">
        <v>4.2333000000000007</v>
      </c>
      <c r="AE22" s="50">
        <v>0.61544391296038936</v>
      </c>
      <c r="AF22" s="50">
        <v>4.8834499999999998</v>
      </c>
      <c r="AG22" s="49">
        <v>100</v>
      </c>
      <c r="AH22" s="49">
        <v>71.336500000000001</v>
      </c>
      <c r="AI22" s="50">
        <v>6.1966212769541471</v>
      </c>
      <c r="AJ22" s="155">
        <v>64.914500000000004</v>
      </c>
      <c r="AK22" s="48">
        <v>20</v>
      </c>
      <c r="AL22" s="49">
        <v>65</v>
      </c>
      <c r="AM22" s="50">
        <v>3.25</v>
      </c>
      <c r="AN22" s="49">
        <v>20</v>
      </c>
      <c r="AO22" s="49">
        <v>10</v>
      </c>
      <c r="AP22" s="49">
        <v>100</v>
      </c>
      <c r="AQ22" s="177">
        <v>59.483333333333348</v>
      </c>
      <c r="AR22" s="177">
        <v>4.3734997427686757</v>
      </c>
      <c r="AS22" s="177">
        <v>54.666666666666664</v>
      </c>
      <c r="AT22" s="50">
        <v>4.1333500000000001</v>
      </c>
      <c r="AU22" s="50">
        <v>0.30546149921062932</v>
      </c>
      <c r="AV22" s="50">
        <v>4.3830999999999998</v>
      </c>
      <c r="AW22" s="49">
        <v>100</v>
      </c>
      <c r="AX22" s="49">
        <v>75.085250000000002</v>
      </c>
      <c r="AY22" s="50">
        <v>2.7772222970983886</v>
      </c>
      <c r="AZ22" s="155">
        <v>72.807000000000002</v>
      </c>
    </row>
    <row r="23" spans="1:52" ht="22.5" customHeight="1" x14ac:dyDescent="0.3">
      <c r="A23" s="229"/>
      <c r="B23" s="151" t="s">
        <v>15</v>
      </c>
      <c r="C23" s="35"/>
      <c r="D23" s="36"/>
      <c r="E23" s="51"/>
      <c r="F23" s="52"/>
      <c r="G23" s="52"/>
      <c r="H23" s="52"/>
      <c r="I23" s="52"/>
      <c r="J23" s="52"/>
      <c r="K23" s="73"/>
      <c r="L23" s="73"/>
      <c r="M23" s="73"/>
      <c r="N23" s="52"/>
      <c r="O23" s="52"/>
      <c r="P23" s="52"/>
      <c r="Q23" s="167"/>
      <c r="R23" s="52"/>
      <c r="S23" s="52"/>
      <c r="T23" s="168"/>
      <c r="U23" s="48">
        <v>33</v>
      </c>
      <c r="V23" s="49">
        <v>114</v>
      </c>
      <c r="W23" s="50">
        <v>3.4545454545454546</v>
      </c>
      <c r="X23" s="49">
        <v>33</v>
      </c>
      <c r="Y23" s="49">
        <v>41</v>
      </c>
      <c r="Z23" s="49">
        <v>100</v>
      </c>
      <c r="AA23" s="72">
        <v>60.737373737373723</v>
      </c>
      <c r="AB23" s="72">
        <v>4.9616424833969068</v>
      </c>
      <c r="AC23" s="72">
        <v>54.93333333333333</v>
      </c>
      <c r="AD23" s="50">
        <v>3.6869090909090909</v>
      </c>
      <c r="AE23" s="50">
        <v>0.36649365314577892</v>
      </c>
      <c r="AF23" s="50">
        <v>4</v>
      </c>
      <c r="AG23" s="49">
        <v>100</v>
      </c>
      <c r="AH23" s="49">
        <v>79.788181818181812</v>
      </c>
      <c r="AI23" s="50">
        <v>2.7192918580703753</v>
      </c>
      <c r="AJ23" s="155">
        <v>76.816000000000003</v>
      </c>
      <c r="AK23" s="48">
        <v>48</v>
      </c>
      <c r="AL23" s="49">
        <v>182</v>
      </c>
      <c r="AM23" s="50">
        <v>3.7916666666666665</v>
      </c>
      <c r="AN23" s="49">
        <v>48</v>
      </c>
      <c r="AO23" s="49">
        <v>39</v>
      </c>
      <c r="AP23" s="49">
        <v>100</v>
      </c>
      <c r="AQ23" s="177">
        <v>59.729166666666664</v>
      </c>
      <c r="AR23" s="177">
        <v>5.9088979709825544</v>
      </c>
      <c r="AS23" s="177">
        <v>54.016666666666666</v>
      </c>
      <c r="AT23" s="50">
        <v>3.8125416666666667</v>
      </c>
      <c r="AU23" s="50">
        <v>0.40197797194691604</v>
      </c>
      <c r="AV23" s="50">
        <v>4.316349999999999</v>
      </c>
      <c r="AW23" s="49">
        <v>100</v>
      </c>
      <c r="AX23" s="49">
        <v>78.114687500000002</v>
      </c>
      <c r="AY23" s="50">
        <v>1.8679811423506278</v>
      </c>
      <c r="AZ23" s="155">
        <v>75.941999999999993</v>
      </c>
    </row>
    <row r="24" spans="1:52" s="148" customFormat="1" ht="22.5" customHeight="1" x14ac:dyDescent="0.3">
      <c r="A24" s="229"/>
      <c r="B24" s="150" t="s">
        <v>59</v>
      </c>
      <c r="C24" s="149" t="s">
        <v>76</v>
      </c>
      <c r="D24" s="77" t="s">
        <v>79</v>
      </c>
      <c r="E24" s="161">
        <v>28</v>
      </c>
      <c r="F24" s="162">
        <v>114</v>
      </c>
      <c r="G24" s="163">
        <v>4.384615384615385</v>
      </c>
      <c r="H24" s="162">
        <v>28</v>
      </c>
      <c r="I24" s="162">
        <v>22</v>
      </c>
      <c r="J24" s="162">
        <v>100</v>
      </c>
      <c r="K24" s="164">
        <v>68.047535714285729</v>
      </c>
      <c r="L24" s="164">
        <v>7.1128942244857978</v>
      </c>
      <c r="M24" s="164">
        <v>61.366349999999997</v>
      </c>
      <c r="N24" s="163">
        <v>3.261821428571428</v>
      </c>
      <c r="O24" s="163">
        <v>0.51975867020676247</v>
      </c>
      <c r="P24" s="163">
        <v>3.6502999999999997</v>
      </c>
      <c r="Q24" s="165">
        <v>100</v>
      </c>
      <c r="R24" s="163">
        <v>86.468678571428583</v>
      </c>
      <c r="S24" s="163">
        <v>2.0288557481203053</v>
      </c>
      <c r="T24" s="166">
        <v>84.565799999999996</v>
      </c>
      <c r="U24" s="48">
        <v>52</v>
      </c>
      <c r="V24" s="49">
        <v>165</v>
      </c>
      <c r="W24" s="50">
        <v>3.3</v>
      </c>
      <c r="X24" s="49">
        <v>52</v>
      </c>
      <c r="Y24" s="49">
        <v>31</v>
      </c>
      <c r="Z24" s="49">
        <v>100</v>
      </c>
      <c r="AA24" s="72">
        <v>66.019230769230759</v>
      </c>
      <c r="AB24" s="72">
        <v>6.6130580037092983</v>
      </c>
      <c r="AC24" s="72">
        <v>59.216666666666669</v>
      </c>
      <c r="AD24" s="50">
        <v>3.4102115384615383</v>
      </c>
      <c r="AE24" s="50">
        <v>0.34978027919397253</v>
      </c>
      <c r="AF24" s="50">
        <v>3.6669999999999998</v>
      </c>
      <c r="AG24" s="49">
        <v>100</v>
      </c>
      <c r="AH24" s="49">
        <v>84.872211538461528</v>
      </c>
      <c r="AI24" s="50">
        <v>2.4701684412869667</v>
      </c>
      <c r="AJ24" s="155">
        <v>82.790499999999994</v>
      </c>
      <c r="AK24" s="48">
        <v>68</v>
      </c>
      <c r="AL24" s="49">
        <v>246</v>
      </c>
      <c r="AM24" s="50">
        <v>3.6716417910447761</v>
      </c>
      <c r="AN24" s="49">
        <v>68</v>
      </c>
      <c r="AO24" s="49">
        <v>28</v>
      </c>
      <c r="AP24" s="49">
        <v>100</v>
      </c>
      <c r="AQ24" s="177">
        <v>65.313725490196092</v>
      </c>
      <c r="AR24" s="177">
        <v>5.6953949844781535</v>
      </c>
      <c r="AS24" s="177">
        <v>59.68333333333333</v>
      </c>
      <c r="AT24" s="50">
        <v>3.3970588235294121</v>
      </c>
      <c r="AU24" s="50">
        <v>0.40536587984164274</v>
      </c>
      <c r="AV24" s="50">
        <v>3.6669999999999998</v>
      </c>
      <c r="AW24" s="49">
        <v>100</v>
      </c>
      <c r="AX24" s="49">
        <v>85.099191176470555</v>
      </c>
      <c r="AY24" s="50">
        <v>3.0616359057437732</v>
      </c>
      <c r="AZ24" s="155">
        <v>82.382999999999996</v>
      </c>
    </row>
    <row r="25" spans="1:52" s="148" customFormat="1" ht="22.5" customHeight="1" x14ac:dyDescent="0.3">
      <c r="A25" s="229"/>
      <c r="B25" s="150" t="s">
        <v>60</v>
      </c>
      <c r="C25" s="149" t="s">
        <v>76</v>
      </c>
      <c r="D25" s="77" t="s">
        <v>79</v>
      </c>
      <c r="E25" s="161">
        <v>16</v>
      </c>
      <c r="F25" s="162">
        <v>67</v>
      </c>
      <c r="G25" s="163">
        <v>4.1875</v>
      </c>
      <c r="H25" s="162">
        <v>16</v>
      </c>
      <c r="I25" s="162">
        <v>20</v>
      </c>
      <c r="J25" s="162">
        <v>100</v>
      </c>
      <c r="K25" s="164">
        <v>68.062374999999989</v>
      </c>
      <c r="L25" s="164">
        <v>6.7424709850600291</v>
      </c>
      <c r="M25" s="164">
        <v>62.000250000000001</v>
      </c>
      <c r="N25" s="163">
        <v>3.4583750000000002</v>
      </c>
      <c r="O25" s="163">
        <v>0.46868489131158259</v>
      </c>
      <c r="P25" s="163">
        <v>3.6669999999999998</v>
      </c>
      <c r="Q25" s="165">
        <v>100</v>
      </c>
      <c r="R25" s="163">
        <v>83.722499999999997</v>
      </c>
      <c r="S25" s="163">
        <v>2.9151625169106254</v>
      </c>
      <c r="T25" s="166">
        <v>80.228999999999999</v>
      </c>
      <c r="U25" s="93"/>
      <c r="V25" s="94"/>
      <c r="W25" s="95"/>
      <c r="X25" s="94"/>
      <c r="Y25" s="94"/>
      <c r="Z25" s="94"/>
      <c r="AA25" s="94"/>
      <c r="AB25" s="94"/>
      <c r="AC25" s="147"/>
      <c r="AD25" s="94"/>
      <c r="AE25" s="94"/>
      <c r="AF25" s="147"/>
      <c r="AG25" s="94"/>
      <c r="AH25" s="94"/>
      <c r="AI25" s="94"/>
      <c r="AJ25" s="154"/>
      <c r="AK25" s="93"/>
      <c r="AL25" s="94"/>
      <c r="AM25" s="95"/>
      <c r="AN25" s="94"/>
      <c r="AO25" s="94"/>
      <c r="AP25" s="94"/>
      <c r="AQ25" s="178"/>
      <c r="AR25" s="178"/>
      <c r="AS25" s="178"/>
      <c r="AT25" s="94"/>
      <c r="AU25" s="94"/>
      <c r="AV25" s="147"/>
      <c r="AW25" s="94"/>
      <c r="AX25" s="94"/>
      <c r="AY25" s="94"/>
      <c r="AZ25" s="154"/>
    </row>
    <row r="26" spans="1:52" ht="22.5" customHeight="1" x14ac:dyDescent="0.3">
      <c r="A26" s="229"/>
      <c r="B26" s="151" t="s">
        <v>17</v>
      </c>
      <c r="C26" s="35"/>
      <c r="D26" s="36"/>
      <c r="E26" s="51"/>
      <c r="F26" s="52"/>
      <c r="G26" s="52"/>
      <c r="H26" s="52"/>
      <c r="I26" s="52"/>
      <c r="J26" s="52"/>
      <c r="K26" s="73"/>
      <c r="L26" s="73"/>
      <c r="M26" s="73"/>
      <c r="N26" s="52"/>
      <c r="O26" s="52"/>
      <c r="P26" s="52"/>
      <c r="Q26" s="167"/>
      <c r="R26" s="52"/>
      <c r="S26" s="52"/>
      <c r="T26" s="168"/>
      <c r="U26" s="48">
        <v>14</v>
      </c>
      <c r="V26" s="49">
        <v>46</v>
      </c>
      <c r="W26" s="50">
        <v>3.5384615384615383</v>
      </c>
      <c r="X26" s="49">
        <v>14</v>
      </c>
      <c r="Y26" s="49">
        <v>15</v>
      </c>
      <c r="Z26" s="49">
        <v>100</v>
      </c>
      <c r="AA26" s="72">
        <v>66.023809523809533</v>
      </c>
      <c r="AB26" s="72">
        <v>4.4229995670435729</v>
      </c>
      <c r="AC26" s="72">
        <v>63.1</v>
      </c>
      <c r="AD26" s="50">
        <v>3.4287142857142863</v>
      </c>
      <c r="AE26" s="50">
        <v>0.31954486127512999</v>
      </c>
      <c r="AF26" s="50">
        <v>3.6669999999999998</v>
      </c>
      <c r="AG26" s="49">
        <v>100</v>
      </c>
      <c r="AH26" s="49">
        <v>84.197857142857146</v>
      </c>
      <c r="AI26" s="50">
        <v>3.3263647651786434</v>
      </c>
      <c r="AJ26" s="155">
        <v>79.500500000000002</v>
      </c>
      <c r="AK26" s="48">
        <v>24</v>
      </c>
      <c r="AL26" s="49">
        <v>80</v>
      </c>
      <c r="AM26" s="50">
        <v>3.4782608695652173</v>
      </c>
      <c r="AN26" s="49">
        <v>24</v>
      </c>
      <c r="AO26" s="49">
        <v>12</v>
      </c>
      <c r="AP26" s="49">
        <v>100</v>
      </c>
      <c r="AQ26" s="177">
        <v>68.180555555555557</v>
      </c>
      <c r="AR26" s="177">
        <v>6.6936808001518244</v>
      </c>
      <c r="AS26" s="177">
        <v>62.483333333333334</v>
      </c>
      <c r="AT26" s="50">
        <v>3.25</v>
      </c>
      <c r="AU26" s="50">
        <v>0.36320345538003962</v>
      </c>
      <c r="AV26" s="50">
        <v>3.6669999999999998</v>
      </c>
      <c r="AW26" s="49">
        <v>100</v>
      </c>
      <c r="AX26" s="49">
        <v>86.504374999999996</v>
      </c>
      <c r="AY26" s="50">
        <v>2.5986568295385633</v>
      </c>
      <c r="AZ26" s="155">
        <v>83.55</v>
      </c>
    </row>
    <row r="27" spans="1:52" ht="22.5" customHeight="1" x14ac:dyDescent="0.3">
      <c r="A27" s="229"/>
      <c r="B27" s="151" t="s">
        <v>18</v>
      </c>
      <c r="C27" s="35"/>
      <c r="D27" s="36"/>
      <c r="E27" s="51"/>
      <c r="F27" s="52"/>
      <c r="G27" s="52"/>
      <c r="H27" s="52"/>
      <c r="I27" s="52"/>
      <c r="J27" s="52"/>
      <c r="K27" s="73"/>
      <c r="L27" s="73"/>
      <c r="M27" s="73"/>
      <c r="N27" s="52"/>
      <c r="O27" s="52"/>
      <c r="P27" s="52"/>
      <c r="Q27" s="167"/>
      <c r="R27" s="52"/>
      <c r="S27" s="52"/>
      <c r="T27" s="168"/>
      <c r="U27" s="48">
        <v>12</v>
      </c>
      <c r="V27" s="49">
        <v>59</v>
      </c>
      <c r="W27" s="50">
        <v>4.916666666666667</v>
      </c>
      <c r="X27" s="49">
        <v>11</v>
      </c>
      <c r="Y27" s="49">
        <v>6</v>
      </c>
      <c r="Z27" s="49">
        <v>100</v>
      </c>
      <c r="AA27" s="72">
        <v>67.242424242424249</v>
      </c>
      <c r="AB27" s="72">
        <v>4.1489706867381217</v>
      </c>
      <c r="AC27" s="72">
        <v>62.166666666666664</v>
      </c>
      <c r="AD27" s="50">
        <v>3.3636363636363638</v>
      </c>
      <c r="AE27" s="50">
        <v>0.3880422359222036</v>
      </c>
      <c r="AF27" s="50">
        <v>3.6669999999999998</v>
      </c>
      <c r="AG27" s="49">
        <v>100</v>
      </c>
      <c r="AH27" s="49">
        <v>85.086818181818188</v>
      </c>
      <c r="AI27" s="50">
        <v>1.6716571428688318</v>
      </c>
      <c r="AJ27" s="155">
        <v>83.78</v>
      </c>
      <c r="AK27" s="48">
        <v>18</v>
      </c>
      <c r="AL27" s="49">
        <v>58</v>
      </c>
      <c r="AM27" s="50">
        <v>3.4117647058823528</v>
      </c>
      <c r="AN27" s="49">
        <v>18</v>
      </c>
      <c r="AO27" s="49">
        <v>10</v>
      </c>
      <c r="AP27" s="49">
        <v>100</v>
      </c>
      <c r="AQ27" s="177">
        <v>65.481481481481467</v>
      </c>
      <c r="AR27" s="177">
        <v>6.6788982441590576</v>
      </c>
      <c r="AS27" s="177">
        <v>59.733333333333334</v>
      </c>
      <c r="AT27" s="50">
        <v>3.4444999999999997</v>
      </c>
      <c r="AU27" s="50">
        <v>0.3685474867639198</v>
      </c>
      <c r="AV27" s="50">
        <v>3.6669999999999998</v>
      </c>
      <c r="AW27" s="49">
        <v>100</v>
      </c>
      <c r="AX27" s="49">
        <v>83.509444444444441</v>
      </c>
      <c r="AY27" s="50">
        <v>1.5127411551457697</v>
      </c>
      <c r="AZ27" s="155">
        <v>82.176999999999992</v>
      </c>
    </row>
    <row r="28" spans="1:52" s="148" customFormat="1" ht="22.5" customHeight="1" x14ac:dyDescent="0.3">
      <c r="A28" s="229"/>
      <c r="B28" s="150" t="s">
        <v>61</v>
      </c>
      <c r="C28" s="149" t="s">
        <v>76</v>
      </c>
      <c r="D28" s="77" t="s">
        <v>80</v>
      </c>
      <c r="E28" s="161">
        <v>11</v>
      </c>
      <c r="F28" s="162">
        <v>47</v>
      </c>
      <c r="G28" s="163">
        <v>4.7</v>
      </c>
      <c r="H28" s="162">
        <v>11</v>
      </c>
      <c r="I28" s="162">
        <v>18</v>
      </c>
      <c r="J28" s="162">
        <v>100</v>
      </c>
      <c r="K28" s="164">
        <v>67.12118181818181</v>
      </c>
      <c r="L28" s="164">
        <v>3.4414675468518356</v>
      </c>
      <c r="M28" s="164">
        <v>63.5</v>
      </c>
      <c r="N28" s="163">
        <v>3.4243636363636365</v>
      </c>
      <c r="O28" s="163">
        <v>0.37067060068863839</v>
      </c>
      <c r="P28" s="163">
        <v>4</v>
      </c>
      <c r="Q28" s="165">
        <v>100</v>
      </c>
      <c r="R28" s="163">
        <v>84.018454545454546</v>
      </c>
      <c r="S28" s="163">
        <v>3.2150280746303355</v>
      </c>
      <c r="T28" s="166">
        <v>81.444500000000005</v>
      </c>
      <c r="U28" s="48">
        <v>10</v>
      </c>
      <c r="V28" s="49">
        <v>33</v>
      </c>
      <c r="W28" s="50">
        <v>3.6666666666666665</v>
      </c>
      <c r="X28" s="49">
        <v>10</v>
      </c>
      <c r="Y28" s="49">
        <v>10</v>
      </c>
      <c r="Z28" s="49">
        <v>100</v>
      </c>
      <c r="AA28" s="72">
        <v>66.166666666666671</v>
      </c>
      <c r="AB28" s="72">
        <v>4.2511436369783269</v>
      </c>
      <c r="AC28" s="72">
        <v>62.333333333333336</v>
      </c>
      <c r="AD28" s="50">
        <v>3.6000999999999999</v>
      </c>
      <c r="AE28" s="50">
        <v>0.29069277596803578</v>
      </c>
      <c r="AF28" s="50">
        <v>3.8834499999999994</v>
      </c>
      <c r="AG28" s="49">
        <v>100</v>
      </c>
      <c r="AH28" s="49">
        <v>84.591499999999996</v>
      </c>
      <c r="AI28" s="50">
        <v>2.3400694968314548</v>
      </c>
      <c r="AJ28" s="155">
        <v>82.53</v>
      </c>
      <c r="AK28" s="48">
        <v>8</v>
      </c>
      <c r="AL28" s="49">
        <v>29</v>
      </c>
      <c r="AM28" s="50">
        <v>4.1428571428571432</v>
      </c>
      <c r="AN28" s="49">
        <v>8</v>
      </c>
      <c r="AO28" s="49">
        <v>5</v>
      </c>
      <c r="AP28" s="49">
        <v>100</v>
      </c>
      <c r="AQ28" s="177">
        <v>62.708333333333336</v>
      </c>
      <c r="AR28" s="177">
        <v>5.3991704609750988</v>
      </c>
      <c r="AS28" s="177">
        <v>58</v>
      </c>
      <c r="AT28" s="50">
        <v>3.5</v>
      </c>
      <c r="AU28" s="50">
        <v>0.47137511601695792</v>
      </c>
      <c r="AV28" s="50">
        <v>3.9833500000000002</v>
      </c>
      <c r="AW28" s="49">
        <v>100</v>
      </c>
      <c r="AX28" s="49">
        <v>81.457499999999996</v>
      </c>
      <c r="AY28" s="50">
        <v>1.0130338099002996</v>
      </c>
      <c r="AZ28" s="155">
        <v>80.17</v>
      </c>
    </row>
    <row r="29" spans="1:52" s="148" customFormat="1" ht="22.5" customHeight="1" x14ac:dyDescent="0.3">
      <c r="A29" s="229"/>
      <c r="B29" s="150" t="s">
        <v>62</v>
      </c>
      <c r="C29" s="149" t="s">
        <v>76</v>
      </c>
      <c r="D29" s="77" t="s">
        <v>80</v>
      </c>
      <c r="E29" s="161">
        <v>36</v>
      </c>
      <c r="F29" s="162">
        <v>144</v>
      </c>
      <c r="G29" s="163">
        <v>4.1142857142857139</v>
      </c>
      <c r="H29" s="162">
        <v>36</v>
      </c>
      <c r="I29" s="162">
        <v>26</v>
      </c>
      <c r="J29" s="162">
        <v>100</v>
      </c>
      <c r="K29" s="164">
        <v>60.018499999999989</v>
      </c>
      <c r="L29" s="164">
        <v>5.446005766206647</v>
      </c>
      <c r="M29" s="164">
        <v>54.667000000000002</v>
      </c>
      <c r="N29" s="163">
        <v>3.9258888888888888</v>
      </c>
      <c r="O29" s="163">
        <v>0.36973868295437995</v>
      </c>
      <c r="P29" s="163">
        <v>4.3330000000000002</v>
      </c>
      <c r="Q29" s="165">
        <v>100</v>
      </c>
      <c r="R29" s="163">
        <v>77.891194444444466</v>
      </c>
      <c r="S29" s="163">
        <v>2.7855961641923925</v>
      </c>
      <c r="T29" s="166">
        <v>74.947000000000003</v>
      </c>
      <c r="U29" s="93"/>
      <c r="V29" s="94"/>
      <c r="W29" s="95"/>
      <c r="X29" s="94"/>
      <c r="Y29" s="94"/>
      <c r="Z29" s="94"/>
      <c r="AA29" s="94"/>
      <c r="AB29" s="94"/>
      <c r="AC29" s="147"/>
      <c r="AD29" s="94"/>
      <c r="AE29" s="94"/>
      <c r="AF29" s="147"/>
      <c r="AG29" s="94"/>
      <c r="AH29" s="94"/>
      <c r="AI29" s="94"/>
      <c r="AJ29" s="154"/>
      <c r="AK29" s="93"/>
      <c r="AL29" s="94"/>
      <c r="AM29" s="95"/>
      <c r="AN29" s="94"/>
      <c r="AO29" s="94"/>
      <c r="AP29" s="94"/>
      <c r="AQ29" s="178"/>
      <c r="AR29" s="178"/>
      <c r="AS29" s="178"/>
      <c r="AT29" s="94"/>
      <c r="AU29" s="94"/>
      <c r="AV29" s="147"/>
      <c r="AW29" s="94"/>
      <c r="AX29" s="94"/>
      <c r="AY29" s="94"/>
      <c r="AZ29" s="154"/>
    </row>
    <row r="30" spans="1:52" ht="22.5" customHeight="1" x14ac:dyDescent="0.3">
      <c r="A30" s="229"/>
      <c r="B30" s="151" t="s">
        <v>37</v>
      </c>
      <c r="C30" s="35"/>
      <c r="D30" s="36"/>
      <c r="E30" s="51"/>
      <c r="F30" s="52"/>
      <c r="G30" s="52"/>
      <c r="H30" s="52"/>
      <c r="I30" s="52"/>
      <c r="J30" s="52"/>
      <c r="K30" s="73"/>
      <c r="L30" s="73"/>
      <c r="M30" s="73"/>
      <c r="N30" s="52"/>
      <c r="O30" s="52"/>
      <c r="P30" s="52"/>
      <c r="Q30" s="167"/>
      <c r="R30" s="52"/>
      <c r="S30" s="52"/>
      <c r="T30" s="168"/>
      <c r="U30" s="48">
        <v>23</v>
      </c>
      <c r="V30" s="49">
        <v>81</v>
      </c>
      <c r="W30" s="50">
        <v>3.6818181818181817</v>
      </c>
      <c r="X30" s="49">
        <v>23</v>
      </c>
      <c r="Y30" s="49">
        <v>20</v>
      </c>
      <c r="Z30" s="49">
        <v>100</v>
      </c>
      <c r="AA30" s="72">
        <v>55.08695652173914</v>
      </c>
      <c r="AB30" s="72">
        <v>4.9237837374111937</v>
      </c>
      <c r="AC30" s="72">
        <v>49.866666666666667</v>
      </c>
      <c r="AD30" s="50">
        <v>4.0870434782608696</v>
      </c>
      <c r="AE30" s="50">
        <v>0.39584598215454886</v>
      </c>
      <c r="AF30" s="50">
        <v>4.6669999999999998</v>
      </c>
      <c r="AG30" s="49">
        <v>100</v>
      </c>
      <c r="AH30" s="49">
        <v>74.834130434782622</v>
      </c>
      <c r="AI30" s="50">
        <v>2.0159239181714379</v>
      </c>
      <c r="AJ30" s="155">
        <v>72.7</v>
      </c>
      <c r="AK30" s="48">
        <v>22</v>
      </c>
      <c r="AL30" s="49">
        <v>79</v>
      </c>
      <c r="AM30" s="50">
        <v>3.5909090909090908</v>
      </c>
      <c r="AN30" s="49">
        <v>22</v>
      </c>
      <c r="AO30" s="49">
        <v>11</v>
      </c>
      <c r="AP30" s="49">
        <v>100</v>
      </c>
      <c r="AQ30" s="177">
        <v>52.545454545454554</v>
      </c>
      <c r="AR30" s="177">
        <v>5.674277824868236</v>
      </c>
      <c r="AS30" s="177">
        <v>46.4</v>
      </c>
      <c r="AT30" s="50">
        <v>4.2878181818181815</v>
      </c>
      <c r="AU30" s="50">
        <v>0.30644451319843991</v>
      </c>
      <c r="AV30" s="50">
        <v>4.6669999999999998</v>
      </c>
      <c r="AW30" s="49">
        <v>100</v>
      </c>
      <c r="AX30" s="49">
        <v>71.165227272727279</v>
      </c>
      <c r="AY30" s="50">
        <v>2.33836747504423</v>
      </c>
      <c r="AZ30" s="155">
        <v>68.662999999999997</v>
      </c>
    </row>
    <row r="31" spans="1:52" ht="22.5" customHeight="1" x14ac:dyDescent="0.3">
      <c r="A31" s="229"/>
      <c r="B31" s="151" t="s">
        <v>39</v>
      </c>
      <c r="C31" s="35"/>
      <c r="D31" s="36"/>
      <c r="E31" s="51"/>
      <c r="F31" s="52"/>
      <c r="G31" s="52"/>
      <c r="H31" s="52"/>
      <c r="I31" s="52"/>
      <c r="J31" s="52"/>
      <c r="K31" s="73"/>
      <c r="L31" s="73"/>
      <c r="M31" s="73"/>
      <c r="N31" s="52"/>
      <c r="O31" s="52"/>
      <c r="P31" s="52"/>
      <c r="Q31" s="167"/>
      <c r="R31" s="52"/>
      <c r="S31" s="52"/>
      <c r="T31" s="168"/>
      <c r="U31" s="48">
        <v>9</v>
      </c>
      <c r="V31" s="49">
        <v>39</v>
      </c>
      <c r="W31" s="50">
        <v>4.333333333333333</v>
      </c>
      <c r="X31" s="49">
        <v>8</v>
      </c>
      <c r="Y31" s="49">
        <v>18</v>
      </c>
      <c r="Z31" s="49">
        <v>100</v>
      </c>
      <c r="AA31" s="72">
        <v>63.916666666666671</v>
      </c>
      <c r="AB31" s="72">
        <v>7.0999804381576794</v>
      </c>
      <c r="AC31" s="72">
        <v>59.833333333333329</v>
      </c>
      <c r="AD31" s="50">
        <v>3.5833750000000002</v>
      </c>
      <c r="AE31" s="50">
        <v>0.43298872314992126</v>
      </c>
      <c r="AF31" s="50">
        <v>3.9833500000000002</v>
      </c>
      <c r="AG31" s="49">
        <v>100</v>
      </c>
      <c r="AH31" s="49">
        <v>81.482500000000002</v>
      </c>
      <c r="AI31" s="50">
        <v>1.5967603921695486</v>
      </c>
      <c r="AJ31" s="155">
        <v>79.848249999999993</v>
      </c>
      <c r="AK31" s="48">
        <v>12</v>
      </c>
      <c r="AL31" s="49">
        <v>50</v>
      </c>
      <c r="AM31" s="50">
        <v>4.166666666666667</v>
      </c>
      <c r="AN31" s="49">
        <v>12</v>
      </c>
      <c r="AO31" s="49">
        <v>16</v>
      </c>
      <c r="AP31" s="49">
        <v>100</v>
      </c>
      <c r="AQ31" s="177">
        <v>63.361111111111114</v>
      </c>
      <c r="AR31" s="177">
        <v>6.6115195952234407</v>
      </c>
      <c r="AS31" s="177">
        <v>58.216666666666669</v>
      </c>
      <c r="AT31" s="50">
        <v>3.749916666666667</v>
      </c>
      <c r="AU31" s="50">
        <v>0.47396579664453653</v>
      </c>
      <c r="AV31" s="50">
        <v>4.1165500000000002</v>
      </c>
      <c r="AW31" s="49">
        <v>100</v>
      </c>
      <c r="AX31" s="49">
        <v>80.615833333333342</v>
      </c>
      <c r="AY31" s="50">
        <v>2.59670290411115</v>
      </c>
      <c r="AZ31" s="155">
        <v>78.032749999999993</v>
      </c>
    </row>
    <row r="32" spans="1:52" ht="22.5" customHeight="1" x14ac:dyDescent="0.3">
      <c r="A32" s="229"/>
      <c r="B32" s="151" t="s">
        <v>20</v>
      </c>
      <c r="C32" s="35"/>
      <c r="D32" s="36"/>
      <c r="E32" s="51"/>
      <c r="F32" s="52"/>
      <c r="G32" s="52"/>
      <c r="H32" s="52"/>
      <c r="I32" s="52"/>
      <c r="J32" s="52"/>
      <c r="K32" s="73"/>
      <c r="L32" s="73"/>
      <c r="M32" s="73"/>
      <c r="N32" s="52"/>
      <c r="O32" s="52"/>
      <c r="P32" s="52"/>
      <c r="Q32" s="167"/>
      <c r="R32" s="52"/>
      <c r="S32" s="52"/>
      <c r="T32" s="168"/>
      <c r="U32" s="48">
        <v>22</v>
      </c>
      <c r="V32" s="49">
        <v>113</v>
      </c>
      <c r="W32" s="50">
        <v>5.3809523809523814</v>
      </c>
      <c r="X32" s="49">
        <v>20</v>
      </c>
      <c r="Y32" s="49">
        <v>16</v>
      </c>
      <c r="Z32" s="49">
        <v>100</v>
      </c>
      <c r="AA32" s="72">
        <v>60.066666666666663</v>
      </c>
      <c r="AB32" s="72">
        <v>4.3083897481801303</v>
      </c>
      <c r="AC32" s="72">
        <v>55.283333333333339</v>
      </c>
      <c r="AD32" s="50">
        <v>3.95</v>
      </c>
      <c r="AE32" s="50">
        <v>0.28413623492965334</v>
      </c>
      <c r="AF32" s="50">
        <v>4.3330000000000002</v>
      </c>
      <c r="AG32" s="49">
        <v>100</v>
      </c>
      <c r="AH32" s="49">
        <v>77.752499999999984</v>
      </c>
      <c r="AI32" s="50">
        <v>1.0833968571134436</v>
      </c>
      <c r="AJ32" s="155">
        <v>76.577250000000006</v>
      </c>
      <c r="AK32" s="48">
        <v>14</v>
      </c>
      <c r="AL32" s="49">
        <v>47</v>
      </c>
      <c r="AM32" s="50">
        <v>3.3571428571428572</v>
      </c>
      <c r="AN32" s="49">
        <v>11</v>
      </c>
      <c r="AO32" s="49">
        <v>14</v>
      </c>
      <c r="AP32" s="49">
        <v>100</v>
      </c>
      <c r="AQ32" s="177">
        <v>52.424242424242422</v>
      </c>
      <c r="AR32" s="177">
        <v>5.669501802513695</v>
      </c>
      <c r="AS32" s="177">
        <v>47.166666666666671</v>
      </c>
      <c r="AT32" s="50">
        <v>4.2726363636363631</v>
      </c>
      <c r="AU32" s="50">
        <v>0.37111999351527913</v>
      </c>
      <c r="AV32" s="50">
        <v>4.6665000000000001</v>
      </c>
      <c r="AW32" s="49">
        <v>100</v>
      </c>
      <c r="AX32" s="49">
        <v>70.87318181818182</v>
      </c>
      <c r="AY32" s="50">
        <v>4.5581043072787049</v>
      </c>
      <c r="AZ32" s="155">
        <v>65.539999999999992</v>
      </c>
    </row>
    <row r="33" spans="1:52" s="148" customFormat="1" ht="22.5" customHeight="1" x14ac:dyDescent="0.3">
      <c r="A33" s="229"/>
      <c r="B33" s="150" t="s">
        <v>63</v>
      </c>
      <c r="C33" s="149" t="s">
        <v>76</v>
      </c>
      <c r="D33" s="77" t="s">
        <v>79</v>
      </c>
      <c r="E33" s="161">
        <v>14</v>
      </c>
      <c r="F33" s="162">
        <v>77</v>
      </c>
      <c r="G33" s="163">
        <v>5.5</v>
      </c>
      <c r="H33" s="162">
        <v>14</v>
      </c>
      <c r="I33" s="162">
        <v>21</v>
      </c>
      <c r="J33" s="162">
        <v>100</v>
      </c>
      <c r="K33" s="164">
        <v>59.619071428571431</v>
      </c>
      <c r="L33" s="164">
        <v>3.8189778637050571</v>
      </c>
      <c r="M33" s="164">
        <v>55.249699999999997</v>
      </c>
      <c r="N33" s="163">
        <v>3.9523571428571427</v>
      </c>
      <c r="O33" s="163">
        <v>0.38215954569701244</v>
      </c>
      <c r="P33" s="163">
        <v>4.3330000000000002</v>
      </c>
      <c r="Q33" s="165">
        <v>100</v>
      </c>
      <c r="R33" s="163">
        <v>77.612642857142859</v>
      </c>
      <c r="S33" s="163">
        <v>1.5517106968553376</v>
      </c>
      <c r="T33" s="166">
        <v>76.531849999999991</v>
      </c>
      <c r="U33" s="48">
        <v>18</v>
      </c>
      <c r="V33" s="49">
        <v>91</v>
      </c>
      <c r="W33" s="50">
        <v>5.0555555555555554</v>
      </c>
      <c r="X33" s="49">
        <v>18</v>
      </c>
      <c r="Y33" s="49">
        <v>14</v>
      </c>
      <c r="Z33" s="49">
        <v>100</v>
      </c>
      <c r="AA33" s="72">
        <v>58.592592592592595</v>
      </c>
      <c r="AB33" s="72">
        <v>4.4438271176208595</v>
      </c>
      <c r="AC33" s="72">
        <v>54.883333333333333</v>
      </c>
      <c r="AD33" s="50">
        <v>3.8889444444444448</v>
      </c>
      <c r="AE33" s="50">
        <v>0.2720068365607769</v>
      </c>
      <c r="AF33" s="50">
        <v>4.1498499999999998</v>
      </c>
      <c r="AG33" s="49">
        <v>100</v>
      </c>
      <c r="AH33" s="49">
        <v>77.93805555555555</v>
      </c>
      <c r="AI33" s="50">
        <v>1.1113582016927546</v>
      </c>
      <c r="AJ33" s="155">
        <v>76.975250000000003</v>
      </c>
      <c r="AK33" s="48">
        <v>10</v>
      </c>
      <c r="AL33" s="49">
        <v>46</v>
      </c>
      <c r="AM33" s="50">
        <v>4.5999999999999996</v>
      </c>
      <c r="AN33" s="49">
        <v>10</v>
      </c>
      <c r="AO33" s="49">
        <v>6</v>
      </c>
      <c r="AP33" s="49">
        <v>100</v>
      </c>
      <c r="AQ33" s="177">
        <v>56.133333333333326</v>
      </c>
      <c r="AR33" s="177">
        <v>6.6016832870278677</v>
      </c>
      <c r="AS33" s="177">
        <v>50.15</v>
      </c>
      <c r="AT33" s="50">
        <v>4.0334000000000003</v>
      </c>
      <c r="AU33" s="50">
        <v>0.48188986293550123</v>
      </c>
      <c r="AV33" s="50">
        <v>4.5500999999999996</v>
      </c>
      <c r="AW33" s="49">
        <v>100</v>
      </c>
      <c r="AX33" s="49">
        <v>73.60199999999999</v>
      </c>
      <c r="AY33" s="50">
        <v>3.2988870850639294</v>
      </c>
      <c r="AZ33" s="155">
        <v>70.998999999999995</v>
      </c>
    </row>
    <row r="34" spans="1:52" s="148" customFormat="1" ht="22.5" customHeight="1" x14ac:dyDescent="0.3">
      <c r="A34" s="229"/>
      <c r="B34" s="150" t="s">
        <v>64</v>
      </c>
      <c r="C34" s="149" t="s">
        <v>76</v>
      </c>
      <c r="D34" s="77" t="s">
        <v>79</v>
      </c>
      <c r="E34" s="161">
        <v>18</v>
      </c>
      <c r="F34" s="162">
        <v>112</v>
      </c>
      <c r="G34" s="163">
        <v>6.5882352941176467</v>
      </c>
      <c r="H34" s="162">
        <v>16</v>
      </c>
      <c r="I34" s="162">
        <v>25</v>
      </c>
      <c r="J34" s="162">
        <v>100</v>
      </c>
      <c r="K34" s="164">
        <v>59.250125000000004</v>
      </c>
      <c r="L34" s="164">
        <v>5.6056550116266237</v>
      </c>
      <c r="M34" s="164">
        <v>53.5</v>
      </c>
      <c r="N34" s="163">
        <v>3.7083750000000002</v>
      </c>
      <c r="O34" s="163">
        <v>0.2790714234295586</v>
      </c>
      <c r="P34" s="163">
        <v>4</v>
      </c>
      <c r="Q34" s="165">
        <v>100</v>
      </c>
      <c r="R34" s="163">
        <v>79.64</v>
      </c>
      <c r="S34" s="163">
        <v>2.4953047910026505</v>
      </c>
      <c r="T34" s="166">
        <v>77.710250000000002</v>
      </c>
      <c r="U34" s="48">
        <v>17</v>
      </c>
      <c r="V34" s="49">
        <v>58</v>
      </c>
      <c r="W34" s="50">
        <v>3.625</v>
      </c>
      <c r="X34" s="49">
        <v>17</v>
      </c>
      <c r="Y34" s="49">
        <v>14</v>
      </c>
      <c r="Z34" s="49">
        <v>100</v>
      </c>
      <c r="AA34" s="72">
        <v>61.529411764705884</v>
      </c>
      <c r="AB34" s="72">
        <v>6.3955241942579084</v>
      </c>
      <c r="AC34" s="72">
        <v>57.266666666666666</v>
      </c>
      <c r="AD34" s="50">
        <v>3.9411764705882346</v>
      </c>
      <c r="AE34" s="50">
        <v>0.36572606838101196</v>
      </c>
      <c r="AF34" s="50">
        <v>4.3330000000000002</v>
      </c>
      <c r="AG34" s="49">
        <v>100</v>
      </c>
      <c r="AH34" s="49">
        <v>78.791176470588226</v>
      </c>
      <c r="AI34" s="50">
        <v>3.2596627980659716</v>
      </c>
      <c r="AJ34" s="155">
        <v>75.100999999999999</v>
      </c>
      <c r="AK34" s="48">
        <v>13</v>
      </c>
      <c r="AL34" s="49">
        <v>62</v>
      </c>
      <c r="AM34" s="50">
        <v>4.7692307692307692</v>
      </c>
      <c r="AN34" s="49">
        <v>12</v>
      </c>
      <c r="AO34" s="49">
        <v>12</v>
      </c>
      <c r="AP34" s="49">
        <v>100</v>
      </c>
      <c r="AQ34" s="177">
        <v>58.722222222222229</v>
      </c>
      <c r="AR34" s="177">
        <v>4.3158479132003142</v>
      </c>
      <c r="AS34" s="177">
        <v>54.883333333333333</v>
      </c>
      <c r="AT34" s="50">
        <v>4</v>
      </c>
      <c r="AU34" s="50">
        <v>0.45125343950674585</v>
      </c>
      <c r="AV34" s="50">
        <v>4.3330000000000002</v>
      </c>
      <c r="AW34" s="49">
        <v>100</v>
      </c>
      <c r="AX34" s="49">
        <v>75.451666666666668</v>
      </c>
      <c r="AY34" s="50">
        <v>2.188348248235831</v>
      </c>
      <c r="AZ34" s="155">
        <v>73.173000000000002</v>
      </c>
    </row>
    <row r="35" spans="1:52" s="148" customFormat="1" ht="22.5" customHeight="1" x14ac:dyDescent="0.3">
      <c r="A35" s="229"/>
      <c r="B35" s="150" t="s">
        <v>65</v>
      </c>
      <c r="C35" s="149" t="s">
        <v>76</v>
      </c>
      <c r="D35" s="77" t="s">
        <v>81</v>
      </c>
      <c r="E35" s="161">
        <v>16</v>
      </c>
      <c r="F35" s="162">
        <v>75</v>
      </c>
      <c r="G35" s="163">
        <v>4.6875</v>
      </c>
      <c r="H35" s="162">
        <v>15</v>
      </c>
      <c r="I35" s="162">
        <v>19</v>
      </c>
      <c r="J35" s="162">
        <v>100</v>
      </c>
      <c r="K35" s="164">
        <v>58.999933333333338</v>
      </c>
      <c r="L35" s="164">
        <v>4.7858386860496349</v>
      </c>
      <c r="M35" s="164">
        <v>52.599699999999999</v>
      </c>
      <c r="N35" s="163">
        <v>3.8667333333333338</v>
      </c>
      <c r="O35" s="163">
        <v>0.36761241666854627</v>
      </c>
      <c r="P35" s="163">
        <v>4.2997000000000005</v>
      </c>
      <c r="Q35" s="165">
        <v>100</v>
      </c>
      <c r="R35" s="163">
        <v>74.752800000000008</v>
      </c>
      <c r="S35" s="163">
        <v>1.9709444166016108</v>
      </c>
      <c r="T35" s="166">
        <v>73.284300000000002</v>
      </c>
      <c r="U35" s="48">
        <v>23</v>
      </c>
      <c r="V35" s="49">
        <v>123</v>
      </c>
      <c r="W35" s="50">
        <v>5.5909090909090908</v>
      </c>
      <c r="X35" s="49">
        <v>21</v>
      </c>
      <c r="Y35" s="49">
        <v>36</v>
      </c>
      <c r="Z35" s="49">
        <v>100</v>
      </c>
      <c r="AA35" s="72">
        <v>59.460317460317462</v>
      </c>
      <c r="AB35" s="72">
        <v>6.5469215597714285</v>
      </c>
      <c r="AC35" s="72">
        <v>51.666666666666664</v>
      </c>
      <c r="AD35" s="50">
        <v>3.8571904761904765</v>
      </c>
      <c r="AE35" s="50">
        <v>0.37879955989410075</v>
      </c>
      <c r="AF35" s="50">
        <v>4.3330000000000002</v>
      </c>
      <c r="AG35" s="49">
        <v>100</v>
      </c>
      <c r="AH35" s="49">
        <v>72.071428571428598</v>
      </c>
      <c r="AI35" s="50">
        <v>3.1311252894491797</v>
      </c>
      <c r="AJ35" s="155">
        <v>68.75</v>
      </c>
      <c r="AK35" s="48">
        <v>19</v>
      </c>
      <c r="AL35" s="49">
        <v>70</v>
      </c>
      <c r="AM35" s="50">
        <v>4.117647058823529</v>
      </c>
      <c r="AN35" s="49">
        <v>19</v>
      </c>
      <c r="AO35" s="49">
        <v>18</v>
      </c>
      <c r="AP35" s="49">
        <v>100</v>
      </c>
      <c r="AQ35" s="177">
        <v>54.456140350877199</v>
      </c>
      <c r="AR35" s="177">
        <v>6.8237721096811432</v>
      </c>
      <c r="AS35" s="177">
        <v>47.666666666666664</v>
      </c>
      <c r="AT35" s="50">
        <v>4.070263157894737</v>
      </c>
      <c r="AU35" s="50">
        <v>0.35166937853693037</v>
      </c>
      <c r="AV35" s="50">
        <v>4.4331999999999994</v>
      </c>
      <c r="AW35" s="49">
        <v>100</v>
      </c>
      <c r="AX35" s="49">
        <v>68.999999999999972</v>
      </c>
      <c r="AY35" s="50">
        <v>4.266114958848207</v>
      </c>
      <c r="AZ35" s="155">
        <v>65.534999999999997</v>
      </c>
    </row>
    <row r="36" spans="1:52" s="148" customFormat="1" ht="22.5" customHeight="1" x14ac:dyDescent="0.3">
      <c r="A36" s="229"/>
      <c r="B36" s="150" t="s">
        <v>66</v>
      </c>
      <c r="C36" s="149" t="s">
        <v>76</v>
      </c>
      <c r="D36" s="77" t="s">
        <v>81</v>
      </c>
      <c r="E36" s="161">
        <v>126</v>
      </c>
      <c r="F36" s="162">
        <v>547</v>
      </c>
      <c r="G36" s="163">
        <v>4.3760000000000003</v>
      </c>
      <c r="H36" s="162">
        <v>122</v>
      </c>
      <c r="I36" s="162">
        <v>115</v>
      </c>
      <c r="J36" s="162">
        <v>100</v>
      </c>
      <c r="K36" s="164">
        <v>63.63386885245901</v>
      </c>
      <c r="L36" s="164">
        <v>5.3606434452158007</v>
      </c>
      <c r="M36" s="164">
        <v>58</v>
      </c>
      <c r="N36" s="163">
        <v>3.6694262295081961</v>
      </c>
      <c r="O36" s="163">
        <v>0.34691721202925341</v>
      </c>
      <c r="P36" s="163">
        <v>4</v>
      </c>
      <c r="Q36" s="165">
        <v>100</v>
      </c>
      <c r="R36" s="163">
        <v>81.444762295082</v>
      </c>
      <c r="S36" s="163">
        <v>2.4344489229073685</v>
      </c>
      <c r="T36" s="166">
        <v>79.323549999999997</v>
      </c>
      <c r="U36" s="93"/>
      <c r="V36" s="94"/>
      <c r="W36" s="95"/>
      <c r="X36" s="94"/>
      <c r="Y36" s="94"/>
      <c r="Z36" s="94"/>
      <c r="AA36" s="94"/>
      <c r="AB36" s="94"/>
      <c r="AC36" s="147"/>
      <c r="AD36" s="94"/>
      <c r="AE36" s="94"/>
      <c r="AF36" s="147"/>
      <c r="AG36" s="94"/>
      <c r="AH36" s="94"/>
      <c r="AI36" s="94"/>
      <c r="AJ36" s="154"/>
      <c r="AK36" s="93"/>
      <c r="AL36" s="94"/>
      <c r="AM36" s="95"/>
      <c r="AN36" s="94"/>
      <c r="AO36" s="94"/>
      <c r="AP36" s="94"/>
      <c r="AQ36" s="178"/>
      <c r="AR36" s="178"/>
      <c r="AS36" s="178"/>
      <c r="AT36" s="94"/>
      <c r="AU36" s="94"/>
      <c r="AV36" s="147"/>
      <c r="AW36" s="94"/>
      <c r="AX36" s="94"/>
      <c r="AY36" s="94"/>
      <c r="AZ36" s="154"/>
    </row>
    <row r="37" spans="1:52" s="148" customFormat="1" ht="22.5" customHeight="1" thickBot="1" x14ac:dyDescent="0.35">
      <c r="A37" s="230"/>
      <c r="B37" s="152" t="s">
        <v>67</v>
      </c>
      <c r="C37" s="153" t="s">
        <v>76</v>
      </c>
      <c r="D37" s="160"/>
      <c r="E37" s="169">
        <v>402</v>
      </c>
      <c r="F37" s="170">
        <v>1732</v>
      </c>
      <c r="G37" s="171">
        <v>4.4987012987012989</v>
      </c>
      <c r="H37" s="170">
        <v>393</v>
      </c>
      <c r="I37" s="170">
        <v>394</v>
      </c>
      <c r="J37" s="170">
        <v>100</v>
      </c>
      <c r="K37" s="172">
        <v>62.612379134860014</v>
      </c>
      <c r="L37" s="172">
        <v>6.0595848647294055</v>
      </c>
      <c r="M37" s="173"/>
      <c r="N37" s="171">
        <v>3.696376590330789</v>
      </c>
      <c r="O37" s="171">
        <v>0.39382961415301226</v>
      </c>
      <c r="P37" s="174"/>
      <c r="Q37" s="175">
        <v>100</v>
      </c>
      <c r="R37" s="171">
        <v>80.637704834605572</v>
      </c>
      <c r="S37" s="171">
        <v>3.5038888420167145</v>
      </c>
      <c r="T37" s="176"/>
      <c r="U37" s="157">
        <v>382</v>
      </c>
      <c r="V37" s="142">
        <v>1514</v>
      </c>
      <c r="W37" s="143">
        <v>4.1793611793611793</v>
      </c>
      <c r="X37" s="142">
        <v>373</v>
      </c>
      <c r="Y37" s="142">
        <v>395</v>
      </c>
      <c r="Z37" s="142">
        <v>100</v>
      </c>
      <c r="AA37" s="182">
        <v>61.98189300411525</v>
      </c>
      <c r="AB37" s="182">
        <v>6.6096077746754558</v>
      </c>
      <c r="AC37" s="158"/>
      <c r="AD37" s="197">
        <v>3.7333530864197551</v>
      </c>
      <c r="AE37" s="197">
        <v>0.41797496087989044</v>
      </c>
      <c r="AF37" s="158"/>
      <c r="AG37" s="142">
        <v>100</v>
      </c>
      <c r="AH37" s="142">
        <v>79.766950617283868</v>
      </c>
      <c r="AI37" s="142">
        <v>4.4758336030308392</v>
      </c>
      <c r="AJ37" s="159"/>
      <c r="AK37" s="157">
        <v>448</v>
      </c>
      <c r="AL37" s="142">
        <v>1741</v>
      </c>
      <c r="AM37" s="143">
        <v>3.9748858447488584</v>
      </c>
      <c r="AN37" s="142">
        <v>442</v>
      </c>
      <c r="AO37" s="142">
        <v>275</v>
      </c>
      <c r="AP37" s="142">
        <v>100</v>
      </c>
      <c r="AQ37" s="180">
        <v>60.02714932126699</v>
      </c>
      <c r="AR37" s="180">
        <v>7.2799556742278515</v>
      </c>
      <c r="AS37" s="181"/>
      <c r="AT37" s="197">
        <v>3.7994027149321288</v>
      </c>
      <c r="AU37" s="197">
        <v>0.48349491782046033</v>
      </c>
      <c r="AV37" s="158"/>
      <c r="AW37" s="142">
        <v>100</v>
      </c>
      <c r="AX37" s="142">
        <v>77.976432432432404</v>
      </c>
      <c r="AY37" s="142">
        <v>6.0850676317751855</v>
      </c>
      <c r="AZ37" s="159"/>
    </row>
  </sheetData>
  <mergeCells count="21">
    <mergeCell ref="A9:A37"/>
    <mergeCell ref="A1:AZ1"/>
    <mergeCell ref="AP7:AS7"/>
    <mergeCell ref="A6:A8"/>
    <mergeCell ref="B6:B8"/>
    <mergeCell ref="E6:T6"/>
    <mergeCell ref="E7:I7"/>
    <mergeCell ref="J7:M7"/>
    <mergeCell ref="N7:P7"/>
    <mergeCell ref="Q7:T7"/>
    <mergeCell ref="C6:C8"/>
    <mergeCell ref="D6:D8"/>
    <mergeCell ref="AK6:AZ6"/>
    <mergeCell ref="AK7:AO7"/>
    <mergeCell ref="AT7:AV7"/>
    <mergeCell ref="AW7:AZ7"/>
    <mergeCell ref="U6:AJ6"/>
    <mergeCell ref="U7:Y7"/>
    <mergeCell ref="Z7:AC7"/>
    <mergeCell ref="AD7:AF7"/>
    <mergeCell ref="AG7:AJ7"/>
  </mergeCells>
  <phoneticPr fontId="2" type="noConversion"/>
  <printOptions horizontalCentered="1"/>
  <pageMargins left="0.15748031496062992" right="0.15748031496062992" top="0.74803149606299213" bottom="0.74803149606299213" header="0.31496062992125984" footer="0.31496062992125984"/>
  <pageSetup paperSize="8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학생부교과전형</vt:lpstr>
      <vt:lpstr>학생부종합전형</vt:lpstr>
      <vt:lpstr>정시일반전형</vt:lpstr>
      <vt:lpstr>학생부교과전형!Print_Titles</vt:lpstr>
      <vt:lpstr>학생부종합전형!Print_Titles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2022-04-01T00:13:25Z</cp:lastPrinted>
  <dcterms:created xsi:type="dcterms:W3CDTF">2022-03-30T23:50:58Z</dcterms:created>
  <dcterms:modified xsi:type="dcterms:W3CDTF">2025-04-02T05:00:39Z</dcterms:modified>
</cp:coreProperties>
</file>